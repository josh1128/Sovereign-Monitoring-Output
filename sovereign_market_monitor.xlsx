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bankofcanada-my.sharepoint.com/personal/evjo_bank-banque-canada_ca/Documents/Monitoring Database/"/>
    </mc:Choice>
  </mc:AlternateContent>
  <xr:revisionPtr revIDLastSave="11858" documentId="11_3EF94CDED7B6C185D3681A71545ED87656CD55A9" xr6:coauthVersionLast="47" xr6:coauthVersionMax="47" xr10:uidLastSave="{39A9070B-0471-4D25-B0AF-41D5D026E3E1}"/>
  <bookViews>
    <workbookView xWindow="-110" yWindow="-110" windowWidth="19420" windowHeight="11500" firstSheet="1" activeTab="1" xr2:uid="{00000000-000D-0000-FFFF-FFFF00000000}"/>
  </bookViews>
  <sheets>
    <sheet name="_CIQHiddenCacheSheet" sheetId="771" state="veryHidden" r:id="rId1"/>
    <sheet name="Sovereigns" sheetId="1" r:id="rId2"/>
    <sheet name="CDS from CapitalIQ" sheetId="9" r:id="rId3"/>
  </sheets>
  <externalReferences>
    <externalReference r:id="rId4"/>
    <externalReference r:id="rId5"/>
  </externalReferences>
  <definedNames>
    <definedName name="bank_bloom">'[1]Bloomberg Codes'!$N$2:$U$23</definedName>
    <definedName name="CIQWBGuid" hidden="1">"c3f11078-5bc0-4198-bb1e-ed57124d9a87"</definedName>
    <definedName name="CIQWBInfo" hidden="1">"{ ""CIQVersion"":""9.51.3510.3078"" }"</definedName>
    <definedName name="date_cds">OFFSET(#REF!,0,0,1,COUNTA(#REF!))</definedName>
    <definedName name="date_fx">OFFSET(#REF!,0,0,1,COUNTA(#REF!))</definedName>
    <definedName name="date_lookup">'[1]Sovereign Indicators'!$C$1</definedName>
    <definedName name="date_stock">OFFSET(#REF!,0,0,1,COUNTA(#REF!))</definedName>
    <definedName name="graph_cds_change">OFFSET(#REF!,0,0,1,COUNTA(#REF!))</definedName>
    <definedName name="graph_cds_level">OFFSET(#REF!,0,0,1,COUNTA(#REF!))</definedName>
    <definedName name="graph_fx_change">OFFSET(#REF!,0,0,1,COUNTA(#REF!))</definedName>
    <definedName name="graph_stock_change">OFFSET(#REF!,0,0,1,COUNTA(#REF!))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"06/17/2026 20:53:41"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IQRLTMPriceChartR5" hidden="1">'[2]LTM Price Chart'!$R$6:$R$257</definedName>
    <definedName name="sov_bloom">'[1]Bloomberg Codes'!$A$3:$J$43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9" l="1"/>
  <c r="D2" i="9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X7" i="9"/>
  <c r="X21" i="9"/>
  <c r="X30" i="9"/>
  <c r="X43" i="9"/>
  <c r="X45" i="9"/>
  <c r="X46" i="9"/>
  <c r="X47" i="9"/>
  <c r="X55" i="9"/>
  <c r="X59" i="9"/>
  <c r="X62" i="9"/>
  <c r="X67" i="9"/>
  <c r="X70" i="9"/>
  <c r="X72" i="9"/>
  <c r="X78" i="9"/>
  <c r="P4" i="1" a="1"/>
  <c r="C3" i="9"/>
  <c r="C4" i="9"/>
  <c r="C5" i="9"/>
  <c r="C6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2" i="9"/>
  <c r="C23" i="9"/>
  <c r="C24" i="9"/>
  <c r="C25" i="9"/>
  <c r="C26" i="9"/>
  <c r="C27" i="9"/>
  <c r="C28" i="9"/>
  <c r="C29" i="9"/>
  <c r="C31" i="9"/>
  <c r="C32" i="9"/>
  <c r="C33" i="9"/>
  <c r="C34" i="9"/>
  <c r="C35" i="9"/>
  <c r="C36" i="9"/>
  <c r="C37" i="9"/>
  <c r="C38" i="9"/>
  <c r="C39" i="9"/>
  <c r="C40" i="9"/>
  <c r="C42" i="9"/>
  <c r="C44" i="9"/>
  <c r="C48" i="9"/>
  <c r="C49" i="9"/>
  <c r="C50" i="9"/>
  <c r="C51" i="9"/>
  <c r="C52" i="9"/>
  <c r="C53" i="9"/>
  <c r="C54" i="9"/>
  <c r="C56" i="9"/>
  <c r="C57" i="9"/>
  <c r="C58" i="9"/>
  <c r="C60" i="9"/>
  <c r="C61" i="9"/>
  <c r="C63" i="9"/>
  <c r="C64" i="9"/>
  <c r="C65" i="9"/>
  <c r="C66" i="9"/>
  <c r="C68" i="9"/>
  <c r="C69" i="9"/>
  <c r="C71" i="9"/>
  <c r="C73" i="9"/>
  <c r="C74" i="9"/>
  <c r="C75" i="9"/>
  <c r="C76" i="9"/>
  <c r="C77" i="9"/>
  <c r="C79" i="9"/>
  <c r="C80" i="9"/>
  <c r="C81" i="9"/>
  <c r="C82" i="9"/>
  <c r="C83" i="9"/>
  <c r="C84" i="9"/>
  <c r="G3" i="9"/>
  <c r="G4" i="9"/>
  <c r="G5" i="9"/>
  <c r="G6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2" i="9"/>
  <c r="G23" i="9"/>
  <c r="G24" i="9"/>
  <c r="G25" i="9"/>
  <c r="G26" i="9"/>
  <c r="G27" i="9"/>
  <c r="G28" i="9"/>
  <c r="G29" i="9"/>
  <c r="G31" i="9"/>
  <c r="G32" i="9"/>
  <c r="G33" i="9"/>
  <c r="G34" i="9"/>
  <c r="G35" i="9"/>
  <c r="G36" i="9"/>
  <c r="G37" i="9"/>
  <c r="G38" i="9"/>
  <c r="G39" i="9"/>
  <c r="G40" i="9"/>
  <c r="G42" i="9"/>
  <c r="G44" i="9"/>
  <c r="G48" i="9"/>
  <c r="G49" i="9"/>
  <c r="G50" i="9"/>
  <c r="G51" i="9"/>
  <c r="G52" i="9"/>
  <c r="G53" i="9"/>
  <c r="G54" i="9"/>
  <c r="G56" i="9"/>
  <c r="G57" i="9"/>
  <c r="G58" i="9"/>
  <c r="G60" i="9"/>
  <c r="G61" i="9"/>
  <c r="G63" i="9"/>
  <c r="G64" i="9"/>
  <c r="G65" i="9"/>
  <c r="G66" i="9"/>
  <c r="G68" i="9"/>
  <c r="G69" i="9"/>
  <c r="G71" i="9"/>
  <c r="G73" i="9"/>
  <c r="G74" i="9"/>
  <c r="G75" i="9"/>
  <c r="G76" i="9"/>
  <c r="G77" i="9"/>
  <c r="G79" i="9"/>
  <c r="G80" i="9"/>
  <c r="G81" i="9"/>
  <c r="G82" i="9"/>
  <c r="G83" i="9"/>
  <c r="G84" i="9"/>
  <c r="D3" i="9"/>
  <c r="D4" i="9"/>
  <c r="D5" i="9"/>
  <c r="D6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2" i="9"/>
  <c r="D23" i="9"/>
  <c r="D24" i="9"/>
  <c r="D25" i="9"/>
  <c r="D26" i="9"/>
  <c r="D27" i="9"/>
  <c r="D28" i="9"/>
  <c r="D29" i="9"/>
  <c r="D31" i="9"/>
  <c r="D32" i="9"/>
  <c r="D33" i="9"/>
  <c r="D34" i="9"/>
  <c r="D35" i="9"/>
  <c r="D36" i="9"/>
  <c r="D37" i="9"/>
  <c r="D38" i="9"/>
  <c r="D39" i="9"/>
  <c r="D40" i="9"/>
  <c r="D42" i="9"/>
  <c r="D44" i="9"/>
  <c r="D48" i="9"/>
  <c r="D49" i="9"/>
  <c r="D50" i="9"/>
  <c r="D51" i="9"/>
  <c r="D52" i="9"/>
  <c r="D53" i="9"/>
  <c r="D54" i="9"/>
  <c r="D56" i="9"/>
  <c r="D57" i="9"/>
  <c r="D58" i="9"/>
  <c r="D60" i="9"/>
  <c r="D61" i="9"/>
  <c r="D63" i="9"/>
  <c r="D64" i="9"/>
  <c r="D65" i="9"/>
  <c r="D66" i="9"/>
  <c r="D68" i="9"/>
  <c r="D69" i="9"/>
  <c r="D71" i="9"/>
  <c r="D73" i="9"/>
  <c r="D74" i="9"/>
  <c r="D75" i="9"/>
  <c r="D76" i="9"/>
  <c r="D77" i="9"/>
  <c r="D79" i="9"/>
  <c r="D80" i="9"/>
  <c r="D81" i="9"/>
  <c r="D82" i="9"/>
  <c r="D83" i="9"/>
  <c r="D84" i="9"/>
  <c r="E3" i="9"/>
  <c r="E4" i="9"/>
  <c r="E5" i="9"/>
  <c r="E6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1" i="9"/>
  <c r="E32" i="9"/>
  <c r="E33" i="9"/>
  <c r="E34" i="9"/>
  <c r="E35" i="9"/>
  <c r="E36" i="9"/>
  <c r="E37" i="9"/>
  <c r="E38" i="9"/>
  <c r="E39" i="9"/>
  <c r="E40" i="9"/>
  <c r="E42" i="9"/>
  <c r="E44" i="9"/>
  <c r="E48" i="9"/>
  <c r="E49" i="9"/>
  <c r="E50" i="9"/>
  <c r="E51" i="9"/>
  <c r="E52" i="9"/>
  <c r="E53" i="9"/>
  <c r="E54" i="9"/>
  <c r="E56" i="9"/>
  <c r="E57" i="9"/>
  <c r="E58" i="9"/>
  <c r="E60" i="9"/>
  <c r="E61" i="9"/>
  <c r="E63" i="9"/>
  <c r="E64" i="9"/>
  <c r="E65" i="9"/>
  <c r="E66" i="9"/>
  <c r="E68" i="9"/>
  <c r="E69" i="9"/>
  <c r="E71" i="9"/>
  <c r="E73" i="9"/>
  <c r="E74" i="9"/>
  <c r="E75" i="9"/>
  <c r="E76" i="9"/>
  <c r="E77" i="9"/>
  <c r="E79" i="9"/>
  <c r="E80" i="9"/>
  <c r="E81" i="9"/>
  <c r="E82" i="9"/>
  <c r="E83" i="9"/>
  <c r="E84" i="9"/>
  <c r="F3" i="9"/>
  <c r="F4" i="9"/>
  <c r="F5" i="9"/>
  <c r="F6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2" i="9"/>
  <c r="F23" i="9"/>
  <c r="F24" i="9"/>
  <c r="F25" i="9"/>
  <c r="F26" i="9"/>
  <c r="F27" i="9"/>
  <c r="F28" i="9"/>
  <c r="F29" i="9"/>
  <c r="F31" i="9"/>
  <c r="F32" i="9"/>
  <c r="F33" i="9"/>
  <c r="F34" i="9"/>
  <c r="F35" i="9"/>
  <c r="F36" i="9"/>
  <c r="F37" i="9"/>
  <c r="F38" i="9"/>
  <c r="F39" i="9"/>
  <c r="F40" i="9"/>
  <c r="F42" i="9"/>
  <c r="F44" i="9"/>
  <c r="F48" i="9"/>
  <c r="F49" i="9"/>
  <c r="F50" i="9"/>
  <c r="F51" i="9"/>
  <c r="F52" i="9"/>
  <c r="F53" i="9"/>
  <c r="F54" i="9"/>
  <c r="F56" i="9"/>
  <c r="F57" i="9"/>
  <c r="F58" i="9"/>
  <c r="F60" i="9"/>
  <c r="F61" i="9"/>
  <c r="F63" i="9"/>
  <c r="F64" i="9"/>
  <c r="F65" i="9"/>
  <c r="F66" i="9"/>
  <c r="F68" i="9"/>
  <c r="F69" i="9"/>
  <c r="F71" i="9"/>
  <c r="F73" i="9"/>
  <c r="F74" i="9"/>
  <c r="F75" i="9"/>
  <c r="F76" i="9"/>
  <c r="F77" i="9"/>
  <c r="F79" i="9"/>
  <c r="F80" i="9"/>
  <c r="F81" i="9"/>
  <c r="F82" i="9"/>
  <c r="F83" i="9"/>
  <c r="F84" i="9"/>
  <c r="H3" i="9"/>
  <c r="H4" i="9"/>
  <c r="H5" i="9"/>
  <c r="H6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2" i="9"/>
  <c r="H23" i="9"/>
  <c r="H24" i="9"/>
  <c r="H25" i="9"/>
  <c r="H26" i="9"/>
  <c r="H27" i="9"/>
  <c r="H28" i="9"/>
  <c r="H29" i="9"/>
  <c r="H31" i="9"/>
  <c r="H32" i="9"/>
  <c r="H33" i="9"/>
  <c r="H34" i="9"/>
  <c r="H35" i="9"/>
  <c r="H36" i="9"/>
  <c r="H37" i="9"/>
  <c r="H38" i="9"/>
  <c r="H39" i="9"/>
  <c r="H40" i="9"/>
  <c r="H42" i="9"/>
  <c r="H44" i="9"/>
  <c r="H48" i="9"/>
  <c r="H49" i="9"/>
  <c r="H50" i="9"/>
  <c r="H51" i="9"/>
  <c r="H52" i="9"/>
  <c r="H53" i="9"/>
  <c r="H54" i="9"/>
  <c r="H56" i="9"/>
  <c r="H57" i="9"/>
  <c r="H58" i="9"/>
  <c r="H60" i="9"/>
  <c r="H61" i="9"/>
  <c r="H63" i="9"/>
  <c r="H64" i="9"/>
  <c r="H65" i="9"/>
  <c r="H66" i="9"/>
  <c r="H68" i="9"/>
  <c r="H69" i="9"/>
  <c r="H71" i="9"/>
  <c r="H73" i="9"/>
  <c r="H74" i="9"/>
  <c r="H75" i="9"/>
  <c r="H76" i="9"/>
  <c r="H77" i="9"/>
  <c r="H79" i="9"/>
  <c r="H80" i="9"/>
  <c r="H81" i="9"/>
  <c r="H82" i="9"/>
  <c r="H83" i="9"/>
  <c r="H84" i="9"/>
  <c r="I3" i="9"/>
  <c r="I4" i="9"/>
  <c r="I5" i="9"/>
  <c r="I6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2" i="9"/>
  <c r="I23" i="9"/>
  <c r="I24" i="9"/>
  <c r="I25" i="9"/>
  <c r="I26" i="9"/>
  <c r="I27" i="9"/>
  <c r="I28" i="9"/>
  <c r="I29" i="9"/>
  <c r="I31" i="9"/>
  <c r="I32" i="9"/>
  <c r="I33" i="9"/>
  <c r="I34" i="9"/>
  <c r="I35" i="9"/>
  <c r="I36" i="9"/>
  <c r="I37" i="9"/>
  <c r="I38" i="9"/>
  <c r="I39" i="9"/>
  <c r="I40" i="9"/>
  <c r="I42" i="9"/>
  <c r="I44" i="9"/>
  <c r="I48" i="9"/>
  <c r="I49" i="9"/>
  <c r="I50" i="9"/>
  <c r="I51" i="9"/>
  <c r="I52" i="9"/>
  <c r="I53" i="9"/>
  <c r="I54" i="9"/>
  <c r="I56" i="9"/>
  <c r="I57" i="9"/>
  <c r="I58" i="9"/>
  <c r="I60" i="9"/>
  <c r="I61" i="9"/>
  <c r="I63" i="9"/>
  <c r="I64" i="9"/>
  <c r="I65" i="9"/>
  <c r="I66" i="9"/>
  <c r="I68" i="9"/>
  <c r="I69" i="9"/>
  <c r="I71" i="9"/>
  <c r="I73" i="9"/>
  <c r="I74" i="9"/>
  <c r="I75" i="9"/>
  <c r="I76" i="9"/>
  <c r="I77" i="9"/>
  <c r="I79" i="9"/>
  <c r="I80" i="9"/>
  <c r="I81" i="9"/>
  <c r="I82" i="9"/>
  <c r="I83" i="9"/>
  <c r="I84" i="9"/>
  <c r="J3" i="9"/>
  <c r="J4" i="9"/>
  <c r="J5" i="9"/>
  <c r="J6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2" i="9"/>
  <c r="J23" i="9"/>
  <c r="J24" i="9"/>
  <c r="J25" i="9"/>
  <c r="J26" i="9"/>
  <c r="J27" i="9"/>
  <c r="J28" i="9"/>
  <c r="J29" i="9"/>
  <c r="J31" i="9"/>
  <c r="J32" i="9"/>
  <c r="J33" i="9"/>
  <c r="J34" i="9"/>
  <c r="J35" i="9"/>
  <c r="J36" i="9"/>
  <c r="J37" i="9"/>
  <c r="J38" i="9"/>
  <c r="J39" i="9"/>
  <c r="J40" i="9"/>
  <c r="J42" i="9"/>
  <c r="J44" i="9"/>
  <c r="J48" i="9"/>
  <c r="J49" i="9"/>
  <c r="J50" i="9"/>
  <c r="J51" i="9"/>
  <c r="J52" i="9"/>
  <c r="J53" i="9"/>
  <c r="J54" i="9"/>
  <c r="J56" i="9"/>
  <c r="J57" i="9"/>
  <c r="J58" i="9"/>
  <c r="J60" i="9"/>
  <c r="J61" i="9"/>
  <c r="J63" i="9"/>
  <c r="J64" i="9"/>
  <c r="J65" i="9"/>
  <c r="J66" i="9"/>
  <c r="J68" i="9"/>
  <c r="J69" i="9"/>
  <c r="J71" i="9"/>
  <c r="J73" i="9"/>
  <c r="J74" i="9"/>
  <c r="J75" i="9"/>
  <c r="J76" i="9"/>
  <c r="J77" i="9"/>
  <c r="J79" i="9"/>
  <c r="J80" i="9"/>
  <c r="J81" i="9"/>
  <c r="J82" i="9"/>
  <c r="J83" i="9"/>
  <c r="J84" i="9"/>
  <c r="K3" i="9"/>
  <c r="K4" i="9"/>
  <c r="K5" i="9"/>
  <c r="K6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2" i="9"/>
  <c r="K23" i="9"/>
  <c r="K24" i="9"/>
  <c r="K25" i="9"/>
  <c r="K26" i="9"/>
  <c r="K27" i="9"/>
  <c r="K28" i="9"/>
  <c r="K29" i="9"/>
  <c r="K31" i="9"/>
  <c r="K32" i="9"/>
  <c r="K33" i="9"/>
  <c r="K34" i="9"/>
  <c r="K35" i="9"/>
  <c r="K36" i="9"/>
  <c r="K37" i="9"/>
  <c r="K38" i="9"/>
  <c r="K39" i="9"/>
  <c r="K40" i="9"/>
  <c r="K42" i="9"/>
  <c r="K44" i="9"/>
  <c r="K48" i="9"/>
  <c r="K49" i="9"/>
  <c r="K50" i="9"/>
  <c r="K51" i="9"/>
  <c r="K52" i="9"/>
  <c r="K53" i="9"/>
  <c r="K54" i="9"/>
  <c r="K56" i="9"/>
  <c r="K57" i="9"/>
  <c r="K58" i="9"/>
  <c r="K60" i="9"/>
  <c r="K61" i="9"/>
  <c r="K63" i="9"/>
  <c r="K64" i="9"/>
  <c r="K65" i="9"/>
  <c r="K66" i="9"/>
  <c r="K68" i="9"/>
  <c r="K69" i="9"/>
  <c r="K71" i="9"/>
  <c r="K73" i="9"/>
  <c r="K74" i="9"/>
  <c r="K75" i="9"/>
  <c r="K76" i="9"/>
  <c r="K77" i="9"/>
  <c r="K79" i="9"/>
  <c r="K80" i="9"/>
  <c r="K81" i="9"/>
  <c r="K82" i="9"/>
  <c r="K83" i="9"/>
  <c r="K84" i="9"/>
  <c r="M3" i="9"/>
  <c r="M4" i="9"/>
  <c r="M5" i="9"/>
  <c r="M6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2" i="9"/>
  <c r="M23" i="9"/>
  <c r="M24" i="9"/>
  <c r="M25" i="9"/>
  <c r="M26" i="9"/>
  <c r="M27" i="9"/>
  <c r="M28" i="9"/>
  <c r="M29" i="9"/>
  <c r="M31" i="9"/>
  <c r="M32" i="9"/>
  <c r="M33" i="9"/>
  <c r="M34" i="9"/>
  <c r="M35" i="9"/>
  <c r="M36" i="9"/>
  <c r="M37" i="9"/>
  <c r="M38" i="9"/>
  <c r="M39" i="9"/>
  <c r="M40" i="9"/>
  <c r="M42" i="9"/>
  <c r="M44" i="9"/>
  <c r="M48" i="9"/>
  <c r="M49" i="9"/>
  <c r="M50" i="9"/>
  <c r="M51" i="9"/>
  <c r="M52" i="9"/>
  <c r="M53" i="9"/>
  <c r="M54" i="9"/>
  <c r="M56" i="9"/>
  <c r="M57" i="9"/>
  <c r="M58" i="9"/>
  <c r="M60" i="9"/>
  <c r="M61" i="9"/>
  <c r="M63" i="9"/>
  <c r="M64" i="9"/>
  <c r="M65" i="9"/>
  <c r="M66" i="9"/>
  <c r="M68" i="9"/>
  <c r="M69" i="9"/>
  <c r="M71" i="9"/>
  <c r="M73" i="9"/>
  <c r="M74" i="9"/>
  <c r="M75" i="9"/>
  <c r="M76" i="9"/>
  <c r="M77" i="9"/>
  <c r="M79" i="9"/>
  <c r="M80" i="9"/>
  <c r="M81" i="9"/>
  <c r="M82" i="9"/>
  <c r="M83" i="9"/>
  <c r="M84" i="9"/>
  <c r="O3" i="9"/>
  <c r="O4" i="9"/>
  <c r="O5" i="9"/>
  <c r="O6" i="9"/>
  <c r="O8" i="9"/>
  <c r="O9" i="9"/>
  <c r="O10" i="9"/>
  <c r="O11" i="9"/>
  <c r="O12" i="9"/>
  <c r="O13" i="9"/>
  <c r="O14" i="9"/>
  <c r="O15" i="9"/>
  <c r="O16" i="9"/>
  <c r="O17" i="9"/>
  <c r="O18" i="9"/>
  <c r="O19" i="9"/>
  <c r="O20" i="9"/>
  <c r="O22" i="9"/>
  <c r="O23" i="9"/>
  <c r="O24" i="9"/>
  <c r="O25" i="9"/>
  <c r="O26" i="9"/>
  <c r="O27" i="9"/>
  <c r="O28" i="9"/>
  <c r="O29" i="9"/>
  <c r="O31" i="9"/>
  <c r="O32" i="9"/>
  <c r="O33" i="9"/>
  <c r="O34" i="9"/>
  <c r="O35" i="9"/>
  <c r="O36" i="9"/>
  <c r="O37" i="9"/>
  <c r="O38" i="9"/>
  <c r="O39" i="9"/>
  <c r="O40" i="9"/>
  <c r="O42" i="9"/>
  <c r="O44" i="9"/>
  <c r="O48" i="9"/>
  <c r="O49" i="9"/>
  <c r="O50" i="9"/>
  <c r="O51" i="9"/>
  <c r="O52" i="9"/>
  <c r="O53" i="9"/>
  <c r="O54" i="9"/>
  <c r="O56" i="9"/>
  <c r="O57" i="9"/>
  <c r="O58" i="9"/>
  <c r="O60" i="9"/>
  <c r="O61" i="9"/>
  <c r="O63" i="9"/>
  <c r="O64" i="9"/>
  <c r="O65" i="9"/>
  <c r="O66" i="9"/>
  <c r="O68" i="9"/>
  <c r="O69" i="9"/>
  <c r="O71" i="9"/>
  <c r="O73" i="9"/>
  <c r="O74" i="9"/>
  <c r="O75" i="9"/>
  <c r="O76" i="9"/>
  <c r="O77" i="9"/>
  <c r="O79" i="9"/>
  <c r="O80" i="9"/>
  <c r="O81" i="9"/>
  <c r="O82" i="9"/>
  <c r="O83" i="9"/>
  <c r="O84" i="9"/>
  <c r="Q3" i="9"/>
  <c r="Q4" i="9"/>
  <c r="Q5" i="9"/>
  <c r="Q6" i="9"/>
  <c r="Q8" i="9"/>
  <c r="Q9" i="9"/>
  <c r="Q10" i="9"/>
  <c r="Q11" i="9"/>
  <c r="Q12" i="9"/>
  <c r="Q13" i="9"/>
  <c r="Q14" i="9"/>
  <c r="Q15" i="9"/>
  <c r="Q16" i="9"/>
  <c r="Q17" i="9"/>
  <c r="Q18" i="9"/>
  <c r="Q19" i="9"/>
  <c r="Q20" i="9"/>
  <c r="Q22" i="9"/>
  <c r="Q23" i="9"/>
  <c r="Q24" i="9"/>
  <c r="Q25" i="9"/>
  <c r="Q26" i="9"/>
  <c r="Q27" i="9"/>
  <c r="Q28" i="9"/>
  <c r="Q29" i="9"/>
  <c r="Q31" i="9"/>
  <c r="Q32" i="9"/>
  <c r="Q33" i="9"/>
  <c r="Q34" i="9"/>
  <c r="Q35" i="9"/>
  <c r="Q36" i="9"/>
  <c r="Q37" i="9"/>
  <c r="Q38" i="9"/>
  <c r="Q39" i="9"/>
  <c r="Q40" i="9"/>
  <c r="Q42" i="9"/>
  <c r="Q44" i="9"/>
  <c r="Q48" i="9"/>
  <c r="Q49" i="9"/>
  <c r="Q50" i="9"/>
  <c r="Q51" i="9"/>
  <c r="Q52" i="9"/>
  <c r="Q53" i="9"/>
  <c r="Q54" i="9"/>
  <c r="Q56" i="9"/>
  <c r="Q57" i="9"/>
  <c r="Q58" i="9"/>
  <c r="Q60" i="9"/>
  <c r="Q61" i="9"/>
  <c r="Q63" i="9"/>
  <c r="Q64" i="9"/>
  <c r="Q65" i="9"/>
  <c r="Q66" i="9"/>
  <c r="Q68" i="9"/>
  <c r="Q69" i="9"/>
  <c r="Q71" i="9"/>
  <c r="Q73" i="9"/>
  <c r="Q74" i="9"/>
  <c r="Q75" i="9"/>
  <c r="Q76" i="9"/>
  <c r="Q77" i="9"/>
  <c r="Q79" i="9"/>
  <c r="Q80" i="9"/>
  <c r="Q81" i="9"/>
  <c r="Q82" i="9"/>
  <c r="Q83" i="9"/>
  <c r="Q84" i="9"/>
  <c r="S3" i="9"/>
  <c r="S4" i="9"/>
  <c r="S5" i="9"/>
  <c r="S6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2" i="9"/>
  <c r="S23" i="9"/>
  <c r="S24" i="9"/>
  <c r="S25" i="9"/>
  <c r="S26" i="9"/>
  <c r="S27" i="9"/>
  <c r="S28" i="9"/>
  <c r="S29" i="9"/>
  <c r="S31" i="9"/>
  <c r="S32" i="9"/>
  <c r="S33" i="9"/>
  <c r="S34" i="9"/>
  <c r="S35" i="9"/>
  <c r="S36" i="9"/>
  <c r="S37" i="9"/>
  <c r="S38" i="9"/>
  <c r="S39" i="9"/>
  <c r="S40" i="9"/>
  <c r="S42" i="9"/>
  <c r="S44" i="9"/>
  <c r="S48" i="9"/>
  <c r="S49" i="9"/>
  <c r="S50" i="9"/>
  <c r="S51" i="9"/>
  <c r="S52" i="9"/>
  <c r="S53" i="9"/>
  <c r="S54" i="9"/>
  <c r="S56" i="9"/>
  <c r="S57" i="9"/>
  <c r="S58" i="9"/>
  <c r="S60" i="9"/>
  <c r="S61" i="9"/>
  <c r="S63" i="9"/>
  <c r="S64" i="9"/>
  <c r="S65" i="9"/>
  <c r="S66" i="9"/>
  <c r="S68" i="9"/>
  <c r="S69" i="9"/>
  <c r="S71" i="9"/>
  <c r="S73" i="9"/>
  <c r="S74" i="9"/>
  <c r="S75" i="9"/>
  <c r="S76" i="9"/>
  <c r="S77" i="9"/>
  <c r="S79" i="9"/>
  <c r="S80" i="9"/>
  <c r="S81" i="9"/>
  <c r="S82" i="9"/>
  <c r="S83" i="9"/>
  <c r="S84" i="9"/>
  <c r="L3" i="9"/>
  <c r="L4" i="9"/>
  <c r="L5" i="9"/>
  <c r="L6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2" i="9"/>
  <c r="L23" i="9"/>
  <c r="L24" i="9"/>
  <c r="L25" i="9"/>
  <c r="L26" i="9"/>
  <c r="L27" i="9"/>
  <c r="L28" i="9"/>
  <c r="L29" i="9"/>
  <c r="L31" i="9"/>
  <c r="L32" i="9"/>
  <c r="L33" i="9"/>
  <c r="L34" i="9"/>
  <c r="L35" i="9"/>
  <c r="L36" i="9"/>
  <c r="L37" i="9"/>
  <c r="L38" i="9"/>
  <c r="L39" i="9"/>
  <c r="L40" i="9"/>
  <c r="L42" i="9"/>
  <c r="L44" i="9"/>
  <c r="L48" i="9"/>
  <c r="L49" i="9"/>
  <c r="L50" i="9"/>
  <c r="L51" i="9"/>
  <c r="L52" i="9"/>
  <c r="L53" i="9"/>
  <c r="L54" i="9"/>
  <c r="L56" i="9"/>
  <c r="L57" i="9"/>
  <c r="L58" i="9"/>
  <c r="L60" i="9"/>
  <c r="L61" i="9"/>
  <c r="L63" i="9"/>
  <c r="L64" i="9"/>
  <c r="L65" i="9"/>
  <c r="L66" i="9"/>
  <c r="L68" i="9"/>
  <c r="L69" i="9"/>
  <c r="L71" i="9"/>
  <c r="L73" i="9"/>
  <c r="L74" i="9"/>
  <c r="L75" i="9"/>
  <c r="L76" i="9"/>
  <c r="L77" i="9"/>
  <c r="L79" i="9"/>
  <c r="L80" i="9"/>
  <c r="L81" i="9"/>
  <c r="L82" i="9"/>
  <c r="L83" i="9"/>
  <c r="L84" i="9"/>
  <c r="N3" i="9"/>
  <c r="N4" i="9"/>
  <c r="N5" i="9"/>
  <c r="N6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2" i="9"/>
  <c r="N23" i="9"/>
  <c r="N24" i="9"/>
  <c r="N25" i="9"/>
  <c r="N26" i="9"/>
  <c r="N27" i="9"/>
  <c r="N28" i="9"/>
  <c r="N29" i="9"/>
  <c r="N31" i="9"/>
  <c r="N32" i="9"/>
  <c r="N33" i="9"/>
  <c r="N34" i="9"/>
  <c r="N35" i="9"/>
  <c r="N36" i="9"/>
  <c r="N37" i="9"/>
  <c r="N38" i="9"/>
  <c r="N39" i="9"/>
  <c r="N40" i="9"/>
  <c r="N42" i="9"/>
  <c r="N44" i="9"/>
  <c r="N48" i="9"/>
  <c r="N49" i="9"/>
  <c r="N50" i="9"/>
  <c r="N51" i="9"/>
  <c r="N52" i="9"/>
  <c r="N53" i="9"/>
  <c r="N54" i="9"/>
  <c r="N56" i="9"/>
  <c r="N57" i="9"/>
  <c r="N58" i="9"/>
  <c r="N60" i="9"/>
  <c r="N61" i="9"/>
  <c r="N63" i="9"/>
  <c r="N64" i="9"/>
  <c r="N65" i="9"/>
  <c r="N66" i="9"/>
  <c r="N68" i="9"/>
  <c r="N69" i="9"/>
  <c r="N71" i="9"/>
  <c r="N73" i="9"/>
  <c r="N74" i="9"/>
  <c r="N75" i="9"/>
  <c r="N76" i="9"/>
  <c r="N77" i="9"/>
  <c r="N79" i="9"/>
  <c r="N80" i="9"/>
  <c r="N81" i="9"/>
  <c r="N82" i="9"/>
  <c r="N83" i="9"/>
  <c r="N84" i="9"/>
  <c r="R3" i="9"/>
  <c r="R4" i="9"/>
  <c r="R5" i="9"/>
  <c r="R6" i="9"/>
  <c r="R8" i="9"/>
  <c r="R9" i="9"/>
  <c r="R10" i="9"/>
  <c r="R11" i="9"/>
  <c r="R12" i="9"/>
  <c r="R13" i="9"/>
  <c r="R14" i="9"/>
  <c r="R15" i="9"/>
  <c r="R16" i="9"/>
  <c r="R17" i="9"/>
  <c r="R18" i="9"/>
  <c r="R19" i="9"/>
  <c r="R20" i="9"/>
  <c r="R22" i="9"/>
  <c r="R23" i="9"/>
  <c r="R24" i="9"/>
  <c r="R25" i="9"/>
  <c r="R26" i="9"/>
  <c r="R27" i="9"/>
  <c r="R28" i="9"/>
  <c r="R29" i="9"/>
  <c r="R31" i="9"/>
  <c r="R32" i="9"/>
  <c r="R33" i="9"/>
  <c r="R34" i="9"/>
  <c r="R35" i="9"/>
  <c r="R36" i="9"/>
  <c r="R37" i="9"/>
  <c r="R38" i="9"/>
  <c r="R39" i="9"/>
  <c r="R40" i="9"/>
  <c r="R42" i="9"/>
  <c r="R44" i="9"/>
  <c r="R48" i="9"/>
  <c r="R49" i="9"/>
  <c r="R50" i="9"/>
  <c r="R51" i="9"/>
  <c r="R52" i="9"/>
  <c r="R53" i="9"/>
  <c r="R54" i="9"/>
  <c r="R56" i="9"/>
  <c r="R57" i="9"/>
  <c r="R58" i="9"/>
  <c r="R60" i="9"/>
  <c r="R61" i="9"/>
  <c r="R63" i="9"/>
  <c r="R64" i="9"/>
  <c r="R65" i="9"/>
  <c r="R66" i="9"/>
  <c r="R68" i="9"/>
  <c r="R69" i="9"/>
  <c r="R71" i="9"/>
  <c r="R73" i="9"/>
  <c r="R74" i="9"/>
  <c r="R75" i="9"/>
  <c r="R76" i="9"/>
  <c r="R77" i="9"/>
  <c r="R79" i="9"/>
  <c r="R80" i="9"/>
  <c r="R81" i="9"/>
  <c r="R82" i="9"/>
  <c r="R83" i="9"/>
  <c r="R84" i="9"/>
  <c r="P3" i="9"/>
  <c r="P4" i="9"/>
  <c r="P5" i="9"/>
  <c r="P6" i="9"/>
  <c r="P8" i="9"/>
  <c r="P9" i="9"/>
  <c r="P10" i="9"/>
  <c r="P11" i="9"/>
  <c r="P12" i="9"/>
  <c r="P13" i="9"/>
  <c r="P14" i="9"/>
  <c r="P15" i="9"/>
  <c r="P16" i="9"/>
  <c r="P17" i="9"/>
  <c r="P18" i="9"/>
  <c r="P19" i="9"/>
  <c r="P20" i="9"/>
  <c r="P22" i="9"/>
  <c r="P23" i="9"/>
  <c r="P24" i="9"/>
  <c r="P25" i="9"/>
  <c r="P26" i="9"/>
  <c r="P27" i="9"/>
  <c r="P28" i="9"/>
  <c r="P29" i="9"/>
  <c r="P31" i="9"/>
  <c r="P32" i="9"/>
  <c r="P33" i="9"/>
  <c r="P34" i="9"/>
  <c r="P35" i="9"/>
  <c r="P36" i="9"/>
  <c r="P37" i="9"/>
  <c r="P38" i="9"/>
  <c r="P39" i="9"/>
  <c r="P40" i="9"/>
  <c r="P42" i="9"/>
  <c r="P44" i="9"/>
  <c r="P48" i="9"/>
  <c r="P49" i="9"/>
  <c r="P50" i="9"/>
  <c r="P51" i="9"/>
  <c r="P52" i="9"/>
  <c r="P53" i="9"/>
  <c r="P54" i="9"/>
  <c r="P56" i="9"/>
  <c r="P57" i="9"/>
  <c r="P58" i="9"/>
  <c r="P60" i="9"/>
  <c r="P61" i="9"/>
  <c r="P63" i="9"/>
  <c r="P64" i="9"/>
  <c r="P65" i="9"/>
  <c r="P66" i="9"/>
  <c r="P68" i="9"/>
  <c r="P69" i="9"/>
  <c r="P71" i="9"/>
  <c r="P73" i="9"/>
  <c r="P74" i="9"/>
  <c r="P75" i="9"/>
  <c r="P76" i="9"/>
  <c r="P77" i="9"/>
  <c r="P79" i="9"/>
  <c r="P80" i="9"/>
  <c r="P81" i="9"/>
  <c r="P82" i="9"/>
  <c r="P83" i="9"/>
  <c r="P84" i="9"/>
  <c r="H8" i="1" a="1"/>
  <c r="W84" i="9" l="1"/>
  <c r="T84" i="9"/>
  <c r="U84" i="9"/>
  <c r="V84" i="9"/>
  <c r="X84" i="9"/>
  <c r="W83" i="9"/>
  <c r="X83" i="9"/>
  <c r="T83" i="9"/>
  <c r="U83" i="9"/>
  <c r="V83" i="9"/>
  <c r="T82" i="9"/>
  <c r="U82" i="9"/>
  <c r="V82" i="9"/>
  <c r="W82" i="9"/>
  <c r="X82" i="9"/>
  <c r="T81" i="9"/>
  <c r="V81" i="9"/>
  <c r="W81" i="9"/>
  <c r="X81" i="9"/>
  <c r="U81" i="9"/>
  <c r="V80" i="9"/>
  <c r="T80" i="9"/>
  <c r="U80" i="9"/>
  <c r="W80" i="9"/>
  <c r="X80" i="9"/>
  <c r="W79" i="9"/>
  <c r="X79" i="9"/>
  <c r="U79" i="9"/>
  <c r="T79" i="9"/>
  <c r="V79" i="9"/>
  <c r="T77" i="9"/>
  <c r="V77" i="9"/>
  <c r="U77" i="9"/>
  <c r="W77" i="9"/>
  <c r="X77" i="9"/>
  <c r="T76" i="9"/>
  <c r="U76" i="9"/>
  <c r="W76" i="9"/>
  <c r="X76" i="9"/>
  <c r="V76" i="9"/>
  <c r="T75" i="9"/>
  <c r="U75" i="9"/>
  <c r="V75" i="9"/>
  <c r="W75" i="9"/>
  <c r="X75" i="9"/>
  <c r="X74" i="9"/>
  <c r="T74" i="9"/>
  <c r="U74" i="9"/>
  <c r="V74" i="9"/>
  <c r="W74" i="9"/>
  <c r="W73" i="9"/>
  <c r="T73" i="9"/>
  <c r="U73" i="9"/>
  <c r="V73" i="9"/>
  <c r="X73" i="9"/>
  <c r="T71" i="9"/>
  <c r="U71" i="9"/>
  <c r="V71" i="9"/>
  <c r="X71" i="9"/>
  <c r="W71" i="9"/>
  <c r="U69" i="9"/>
  <c r="V69" i="9"/>
  <c r="W69" i="9"/>
  <c r="X69" i="9"/>
  <c r="T69" i="9"/>
  <c r="T68" i="9"/>
  <c r="U68" i="9"/>
  <c r="V68" i="9"/>
  <c r="W68" i="9"/>
  <c r="X68" i="9"/>
  <c r="T66" i="9"/>
  <c r="U66" i="9"/>
  <c r="V66" i="9"/>
  <c r="W66" i="9"/>
  <c r="X66" i="9"/>
  <c r="X65" i="9"/>
  <c r="T65" i="9"/>
  <c r="U65" i="9"/>
  <c r="V65" i="9"/>
  <c r="W65" i="9"/>
  <c r="V64" i="9"/>
  <c r="W64" i="9"/>
  <c r="X64" i="9"/>
  <c r="T64" i="9"/>
  <c r="U64" i="9"/>
  <c r="T63" i="9"/>
  <c r="U63" i="9"/>
  <c r="V63" i="9"/>
  <c r="W63" i="9"/>
  <c r="X63" i="9"/>
  <c r="T61" i="9"/>
  <c r="U61" i="9"/>
  <c r="V61" i="9"/>
  <c r="W61" i="9"/>
  <c r="X61" i="9"/>
  <c r="V60" i="9"/>
  <c r="W60" i="9"/>
  <c r="T60" i="9"/>
  <c r="U60" i="9"/>
  <c r="X60" i="9"/>
  <c r="X58" i="9"/>
  <c r="W58" i="9"/>
  <c r="V58" i="9"/>
  <c r="T58" i="9"/>
  <c r="U58" i="9"/>
  <c r="V57" i="9"/>
  <c r="W57" i="9"/>
  <c r="T57" i="9"/>
  <c r="U57" i="9"/>
  <c r="X57" i="9"/>
  <c r="T56" i="9"/>
  <c r="U56" i="9"/>
  <c r="V56" i="9"/>
  <c r="W56" i="9"/>
  <c r="X56" i="9"/>
  <c r="T54" i="9"/>
  <c r="U54" i="9"/>
  <c r="V54" i="9"/>
  <c r="W54" i="9"/>
  <c r="X54" i="9"/>
  <c r="X53" i="9"/>
  <c r="T53" i="9"/>
  <c r="U53" i="9"/>
  <c r="V53" i="9"/>
  <c r="W53" i="9"/>
  <c r="V52" i="9"/>
  <c r="W52" i="9"/>
  <c r="X52" i="9"/>
  <c r="T52" i="9"/>
  <c r="U52" i="9"/>
  <c r="T51" i="9"/>
  <c r="U51" i="9"/>
  <c r="V51" i="9"/>
  <c r="W51" i="9"/>
  <c r="X51" i="9"/>
  <c r="T50" i="9"/>
  <c r="U50" i="9"/>
  <c r="V50" i="9"/>
  <c r="W50" i="9"/>
  <c r="X50" i="9"/>
  <c r="U49" i="9"/>
  <c r="V49" i="9"/>
  <c r="X49" i="9"/>
  <c r="T49" i="9"/>
  <c r="W49" i="9"/>
  <c r="T48" i="9"/>
  <c r="V48" i="9"/>
  <c r="W48" i="9"/>
  <c r="U48" i="9"/>
  <c r="X48" i="9"/>
  <c r="V44" i="9"/>
  <c r="T44" i="9"/>
  <c r="U44" i="9"/>
  <c r="W44" i="9"/>
  <c r="X44" i="9"/>
  <c r="X42" i="9"/>
  <c r="V42" i="9"/>
  <c r="U42" i="9"/>
  <c r="W42" i="9"/>
  <c r="T42" i="9"/>
  <c r="T40" i="9"/>
  <c r="U40" i="9"/>
  <c r="V40" i="9"/>
  <c r="W40" i="9"/>
  <c r="X40" i="9"/>
  <c r="U39" i="9"/>
  <c r="T39" i="9"/>
  <c r="V39" i="9"/>
  <c r="W39" i="9"/>
  <c r="X39" i="9"/>
  <c r="T38" i="9"/>
  <c r="X38" i="9"/>
  <c r="U38" i="9"/>
  <c r="V38" i="9"/>
  <c r="W38" i="9"/>
  <c r="X37" i="9"/>
  <c r="U37" i="9"/>
  <c r="W37" i="9"/>
  <c r="T37" i="9"/>
  <c r="V37" i="9"/>
  <c r="U36" i="9"/>
  <c r="W36" i="9"/>
  <c r="T36" i="9"/>
  <c r="V36" i="9"/>
  <c r="X36" i="9"/>
  <c r="T35" i="9"/>
  <c r="U35" i="9"/>
  <c r="X35" i="9"/>
  <c r="V35" i="9"/>
  <c r="W35" i="9"/>
  <c r="T34" i="9"/>
  <c r="X34" i="9"/>
  <c r="U34" i="9"/>
  <c r="V34" i="9"/>
  <c r="W34" i="9"/>
  <c r="X33" i="9"/>
  <c r="U33" i="9"/>
  <c r="T33" i="9"/>
  <c r="V33" i="9"/>
  <c r="W33" i="9"/>
  <c r="T32" i="9"/>
  <c r="W32" i="9"/>
  <c r="U32" i="9"/>
  <c r="V32" i="9"/>
  <c r="X32" i="9"/>
  <c r="U31" i="9"/>
  <c r="T31" i="9"/>
  <c r="V31" i="9"/>
  <c r="W31" i="9"/>
  <c r="X31" i="9"/>
  <c r="T29" i="9"/>
  <c r="U29" i="9"/>
  <c r="V29" i="9"/>
  <c r="W29" i="9"/>
  <c r="X29" i="9"/>
  <c r="W28" i="9"/>
  <c r="X28" i="9"/>
  <c r="T28" i="9"/>
  <c r="U28" i="9"/>
  <c r="V28" i="9"/>
  <c r="X27" i="9"/>
  <c r="T27" i="9"/>
  <c r="U27" i="9"/>
  <c r="V27" i="9"/>
  <c r="W27" i="9"/>
  <c r="T26" i="9"/>
  <c r="V26" i="9"/>
  <c r="U26" i="9"/>
  <c r="W26" i="9"/>
  <c r="X26" i="9"/>
  <c r="T25" i="9"/>
  <c r="U25" i="9"/>
  <c r="V25" i="9"/>
  <c r="W25" i="9"/>
  <c r="X25" i="9"/>
  <c r="W24" i="9"/>
  <c r="T24" i="9"/>
  <c r="U24" i="9"/>
  <c r="V24" i="9"/>
  <c r="X24" i="9"/>
  <c r="U23" i="9"/>
  <c r="V23" i="9"/>
  <c r="W23" i="9"/>
  <c r="X23" i="9"/>
  <c r="T23" i="9"/>
  <c r="U22" i="9"/>
  <c r="V22" i="9"/>
  <c r="T22" i="9"/>
  <c r="W22" i="9"/>
  <c r="X22" i="9"/>
  <c r="U20" i="9"/>
  <c r="V20" i="9"/>
  <c r="W20" i="9"/>
  <c r="X20" i="9"/>
  <c r="T20" i="9"/>
  <c r="W19" i="9"/>
  <c r="X19" i="9"/>
  <c r="T19" i="9"/>
  <c r="U19" i="9"/>
  <c r="V19" i="9"/>
  <c r="T18" i="9"/>
  <c r="W18" i="9"/>
  <c r="U18" i="9"/>
  <c r="V18" i="9"/>
  <c r="X18" i="9"/>
  <c r="T17" i="9"/>
  <c r="U17" i="9"/>
  <c r="V17" i="9"/>
  <c r="W17" i="9"/>
  <c r="X17" i="9"/>
  <c r="U16" i="9"/>
  <c r="V16" i="9"/>
  <c r="W16" i="9"/>
  <c r="X16" i="9"/>
  <c r="T16" i="9"/>
  <c r="T15" i="9"/>
  <c r="W15" i="9"/>
  <c r="U15" i="9"/>
  <c r="V15" i="9"/>
  <c r="X15" i="9"/>
  <c r="T14" i="9"/>
  <c r="U14" i="9"/>
  <c r="V14" i="9"/>
  <c r="W14" i="9"/>
  <c r="X14" i="9"/>
  <c r="W13" i="9"/>
  <c r="T13" i="9"/>
  <c r="U13" i="9"/>
  <c r="V13" i="9"/>
  <c r="X13" i="9"/>
  <c r="U12" i="9"/>
  <c r="V12" i="9"/>
  <c r="W12" i="9"/>
  <c r="X12" i="9"/>
  <c r="T12" i="9"/>
  <c r="T11" i="9"/>
  <c r="U11" i="9"/>
  <c r="V11" i="9"/>
  <c r="W11" i="9"/>
  <c r="X11" i="9"/>
  <c r="W10" i="9"/>
  <c r="T10" i="9"/>
  <c r="U10" i="9"/>
  <c r="V10" i="9"/>
  <c r="X10" i="9"/>
  <c r="U9" i="9"/>
  <c r="W9" i="9"/>
  <c r="T9" i="9"/>
  <c r="V9" i="9"/>
  <c r="X9" i="9"/>
  <c r="U8" i="9"/>
  <c r="V8" i="9"/>
  <c r="W8" i="9"/>
  <c r="X8" i="9"/>
  <c r="T8" i="9"/>
  <c r="T6" i="9"/>
  <c r="U6" i="9"/>
  <c r="V6" i="9"/>
  <c r="X6" i="9"/>
  <c r="W6" i="9"/>
  <c r="T5" i="9"/>
  <c r="V5" i="9"/>
  <c r="W5" i="9"/>
  <c r="X5" i="9"/>
  <c r="U5" i="9"/>
  <c r="W4" i="9"/>
  <c r="X4" i="9"/>
  <c r="T4" i="9"/>
  <c r="U4" i="9"/>
  <c r="V4" i="9"/>
  <c r="V3" i="9"/>
  <c r="E8" i="1" s="1"/>
  <c r="W3" i="9"/>
  <c r="F8" i="1" s="1"/>
  <c r="C8" i="1"/>
  <c r="X3" i="9"/>
  <c r="G8" i="1" s="1"/>
  <c r="T3" i="9"/>
  <c r="D8" i="1" s="1"/>
  <c r="U3" i="9"/>
  <c r="P4" i="1"/>
  <c r="H8" i="1"/>
  <c r="I8" i="1" a="1"/>
  <c r="I8" i="1"/>
  <c r="J8" i="1" a="1"/>
  <c r="J8" i="1"/>
  <c r="K8" i="1" a="1"/>
  <c r="K8" i="1"/>
  <c r="L8" i="1" a="1"/>
  <c r="L8" i="1"/>
  <c r="M8" i="1" a="1"/>
  <c r="M8" i="1"/>
  <c r="N8" i="1" a="1"/>
  <c r="N8" i="1"/>
  <c r="O8" i="1" a="1"/>
  <c r="O8" i="1"/>
  <c r="R8" i="1" a="1"/>
  <c r="R8" i="1"/>
  <c r="S8" i="1" a="1"/>
  <c r="S8" i="1"/>
  <c r="U8" i="1" a="1"/>
  <c r="U8" i="1"/>
  <c r="V8" i="1" a="1"/>
  <c r="V8" i="1"/>
  <c r="C9" i="1"/>
  <c r="D9" i="1"/>
  <c r="E9" i="1"/>
  <c r="F9" i="1"/>
  <c r="G9" i="1"/>
  <c r="H9" i="1" a="1"/>
  <c r="H9" i="1"/>
  <c r="I9" i="1" a="1"/>
  <c r="I9" i="1"/>
  <c r="J9" i="1" a="1"/>
  <c r="J9" i="1"/>
  <c r="K9" i="1" a="1"/>
  <c r="K9" i="1"/>
  <c r="L9" i="1" a="1"/>
  <c r="L9" i="1"/>
  <c r="M9" i="1" a="1"/>
  <c r="M9" i="1"/>
  <c r="N9" i="1" a="1"/>
  <c r="N9" i="1"/>
  <c r="O9" i="1" a="1"/>
  <c r="O9" i="1"/>
  <c r="R9" i="1" a="1"/>
  <c r="R9" i="1"/>
  <c r="S9" i="1" a="1"/>
  <c r="S9" i="1"/>
  <c r="U9" i="1" a="1"/>
  <c r="U9" i="1"/>
  <c r="V9" i="1" a="1"/>
  <c r="V9" i="1"/>
  <c r="C10" i="1"/>
  <c r="D10" i="1"/>
  <c r="E10" i="1"/>
  <c r="F10" i="1"/>
  <c r="G10" i="1"/>
  <c r="H10" i="1" a="1"/>
  <c r="H10" i="1"/>
  <c r="I10" i="1" a="1"/>
  <c r="I10" i="1"/>
  <c r="J10" i="1" a="1"/>
  <c r="J10" i="1"/>
  <c r="K10" i="1" a="1"/>
  <c r="K10" i="1"/>
  <c r="L10" i="1" a="1"/>
  <c r="L10" i="1"/>
  <c r="M10" i="1" a="1"/>
  <c r="M10" i="1"/>
  <c r="N10" i="1" a="1"/>
  <c r="N10" i="1"/>
  <c r="O10" i="1" a="1"/>
  <c r="O10" i="1"/>
  <c r="R10" i="1" a="1"/>
  <c r="R10" i="1"/>
  <c r="S10" i="1" a="1"/>
  <c r="S10" i="1"/>
  <c r="U10" i="1" a="1"/>
  <c r="U10" i="1"/>
  <c r="V10" i="1" a="1"/>
  <c r="V10" i="1"/>
  <c r="C11" i="1"/>
  <c r="D11" i="1"/>
  <c r="E11" i="1"/>
  <c r="F11" i="1"/>
  <c r="G11" i="1"/>
  <c r="H11" i="1" a="1"/>
  <c r="H11" i="1"/>
  <c r="I11" i="1" a="1"/>
  <c r="I11" i="1"/>
  <c r="J11" i="1" a="1"/>
  <c r="J11" i="1"/>
  <c r="K11" i="1" a="1"/>
  <c r="K11" i="1"/>
  <c r="R11" i="1" a="1"/>
  <c r="R11" i="1"/>
  <c r="S11" i="1" a="1"/>
  <c r="S11" i="1"/>
  <c r="C13" i="1"/>
  <c r="D13" i="1"/>
  <c r="E13" i="1"/>
  <c r="F13" i="1"/>
  <c r="G13" i="1"/>
  <c r="H13" i="1" a="1"/>
  <c r="H13" i="1"/>
  <c r="I13" i="1" a="1"/>
  <c r="I13" i="1"/>
  <c r="J13" i="1" a="1"/>
  <c r="J13" i="1"/>
  <c r="K13" i="1" a="1"/>
  <c r="K13" i="1"/>
  <c r="L13" i="1" a="1"/>
  <c r="L13" i="1"/>
  <c r="M13" i="1" a="1"/>
  <c r="M13" i="1"/>
  <c r="N13" i="1" a="1"/>
  <c r="N13" i="1"/>
  <c r="O13" i="1" a="1"/>
  <c r="O13" i="1"/>
  <c r="R13" i="1" a="1"/>
  <c r="R13" i="1"/>
  <c r="S13" i="1" a="1"/>
  <c r="S13" i="1"/>
  <c r="U13" i="1" a="1"/>
  <c r="U13" i="1"/>
  <c r="V13" i="1" a="1"/>
  <c r="V13" i="1"/>
  <c r="C14" i="1"/>
  <c r="D14" i="1"/>
  <c r="E14" i="1"/>
  <c r="F14" i="1"/>
  <c r="G14" i="1"/>
  <c r="H14" i="1" a="1"/>
  <c r="H14" i="1"/>
  <c r="I14" i="1" a="1"/>
  <c r="I14" i="1"/>
  <c r="J14" i="1" a="1"/>
  <c r="J14" i="1"/>
  <c r="K14" i="1" a="1"/>
  <c r="K14" i="1"/>
  <c r="L14" i="1" a="1"/>
  <c r="L14" i="1"/>
  <c r="M14" i="1" a="1"/>
  <c r="M14" i="1"/>
  <c r="N14" i="1" a="1"/>
  <c r="N14" i="1"/>
  <c r="O14" i="1" a="1"/>
  <c r="O14" i="1"/>
  <c r="R14" i="1" a="1"/>
  <c r="R14" i="1"/>
  <c r="S14" i="1" a="1"/>
  <c r="S14" i="1"/>
  <c r="U14" i="1" a="1"/>
  <c r="U14" i="1"/>
  <c r="V14" i="1" a="1"/>
  <c r="V14" i="1"/>
  <c r="C15" i="1"/>
  <c r="D15" i="1"/>
  <c r="E15" i="1"/>
  <c r="F15" i="1"/>
  <c r="G15" i="1"/>
  <c r="H15" i="1" a="1"/>
  <c r="H15" i="1"/>
  <c r="I15" i="1" a="1"/>
  <c r="I15" i="1"/>
  <c r="J15" i="1" a="1"/>
  <c r="J15" i="1"/>
  <c r="K15" i="1" a="1"/>
  <c r="K15" i="1"/>
  <c r="L15" i="1" a="1"/>
  <c r="L15" i="1"/>
  <c r="M15" i="1" a="1"/>
  <c r="M15" i="1"/>
  <c r="N15" i="1" a="1"/>
  <c r="N15" i="1"/>
  <c r="O15" i="1" a="1"/>
  <c r="O15" i="1"/>
  <c r="R15" i="1" a="1"/>
  <c r="R15" i="1"/>
  <c r="S15" i="1" a="1"/>
  <c r="S15" i="1"/>
  <c r="U15" i="1" a="1"/>
  <c r="U15" i="1"/>
  <c r="V15" i="1" a="1"/>
  <c r="V15" i="1"/>
  <c r="C16" i="1"/>
  <c r="D16" i="1"/>
  <c r="E16" i="1"/>
  <c r="F16" i="1"/>
  <c r="G16" i="1"/>
  <c r="H16" i="1" a="1"/>
  <c r="H16" i="1"/>
  <c r="I16" i="1" a="1"/>
  <c r="I16" i="1"/>
  <c r="J16" i="1" a="1"/>
  <c r="J16" i="1"/>
  <c r="K16" i="1" a="1"/>
  <c r="K16" i="1"/>
  <c r="L16" i="1" a="1"/>
  <c r="L16" i="1"/>
  <c r="M16" i="1" a="1"/>
  <c r="M16" i="1"/>
  <c r="N16" i="1" a="1"/>
  <c r="N16" i="1"/>
  <c r="O16" i="1" a="1"/>
  <c r="O16" i="1"/>
  <c r="R16" i="1" a="1"/>
  <c r="R16" i="1"/>
  <c r="S16" i="1" a="1"/>
  <c r="S16" i="1"/>
  <c r="U16" i="1" a="1"/>
  <c r="U16" i="1"/>
  <c r="V16" i="1" a="1"/>
  <c r="V16" i="1"/>
  <c r="C17" i="1"/>
  <c r="D17" i="1"/>
  <c r="E17" i="1"/>
  <c r="F17" i="1"/>
  <c r="G17" i="1"/>
  <c r="H17" i="1" a="1"/>
  <c r="H17" i="1"/>
  <c r="I17" i="1" a="1"/>
  <c r="I17" i="1"/>
  <c r="J17" i="1" a="1"/>
  <c r="J17" i="1"/>
  <c r="K17" i="1" a="1"/>
  <c r="K17" i="1"/>
  <c r="L17" i="1" a="1"/>
  <c r="L17" i="1"/>
  <c r="M17" i="1" a="1"/>
  <c r="M17" i="1"/>
  <c r="N17" i="1" a="1"/>
  <c r="N17" i="1"/>
  <c r="O17" i="1" a="1"/>
  <c r="O17" i="1"/>
  <c r="R17" i="1" a="1"/>
  <c r="R17" i="1"/>
  <c r="S17" i="1" a="1"/>
  <c r="S17" i="1"/>
  <c r="U17" i="1" a="1"/>
  <c r="U17" i="1"/>
  <c r="V17" i="1" a="1"/>
  <c r="V17" i="1"/>
  <c r="C18" i="1"/>
  <c r="D18" i="1"/>
  <c r="E18" i="1"/>
  <c r="F18" i="1"/>
  <c r="G18" i="1"/>
  <c r="H18" i="1" a="1"/>
  <c r="H18" i="1"/>
  <c r="I18" i="1" a="1"/>
  <c r="I18" i="1"/>
  <c r="J18" i="1" a="1"/>
  <c r="J18" i="1"/>
  <c r="K18" i="1" a="1"/>
  <c r="K18" i="1"/>
  <c r="L18" i="1" a="1"/>
  <c r="L18" i="1"/>
  <c r="M18" i="1" a="1"/>
  <c r="M18" i="1"/>
  <c r="N18" i="1" a="1"/>
  <c r="N18" i="1"/>
  <c r="O18" i="1" a="1"/>
  <c r="O18" i="1"/>
  <c r="R18" i="1" a="1"/>
  <c r="R18" i="1"/>
  <c r="S18" i="1" a="1"/>
  <c r="S18" i="1"/>
  <c r="U18" i="1" a="1"/>
  <c r="U18" i="1"/>
  <c r="V18" i="1" a="1"/>
  <c r="V18" i="1"/>
  <c r="C19" i="1"/>
  <c r="D19" i="1"/>
  <c r="E19" i="1"/>
  <c r="F19" i="1"/>
  <c r="G19" i="1"/>
  <c r="H19" i="1" a="1"/>
  <c r="H19" i="1"/>
  <c r="I19" i="1" a="1"/>
  <c r="I19" i="1"/>
  <c r="J19" i="1" a="1"/>
  <c r="J19" i="1"/>
  <c r="K19" i="1" a="1"/>
  <c r="K19" i="1"/>
  <c r="L19" i="1" a="1"/>
  <c r="L19" i="1"/>
  <c r="M19" i="1" a="1"/>
  <c r="M19" i="1"/>
  <c r="N19" i="1" a="1"/>
  <c r="N19" i="1"/>
  <c r="O19" i="1" a="1"/>
  <c r="O19" i="1"/>
  <c r="R19" i="1" a="1"/>
  <c r="R19" i="1"/>
  <c r="S19" i="1" a="1"/>
  <c r="S19" i="1"/>
  <c r="U19" i="1" a="1"/>
  <c r="U19" i="1"/>
  <c r="V19" i="1" a="1"/>
  <c r="V19" i="1"/>
  <c r="C20" i="1"/>
  <c r="D20" i="1"/>
  <c r="E20" i="1"/>
  <c r="F20" i="1"/>
  <c r="G20" i="1"/>
  <c r="H20" i="1" a="1"/>
  <c r="H20" i="1"/>
  <c r="I20" i="1" a="1"/>
  <c r="I20" i="1"/>
  <c r="J20" i="1" a="1"/>
  <c r="J20" i="1"/>
  <c r="K20" i="1" a="1"/>
  <c r="K20" i="1"/>
  <c r="L20" i="1" a="1"/>
  <c r="L20" i="1"/>
  <c r="M20" i="1" a="1"/>
  <c r="M20" i="1"/>
  <c r="N20" i="1" a="1"/>
  <c r="N20" i="1"/>
  <c r="O20" i="1" a="1"/>
  <c r="O20" i="1"/>
  <c r="R20" i="1" a="1"/>
  <c r="R20" i="1"/>
  <c r="S20" i="1" a="1"/>
  <c r="S20" i="1"/>
  <c r="U20" i="1" a="1"/>
  <c r="U20" i="1"/>
  <c r="V20" i="1" a="1"/>
  <c r="V20" i="1"/>
  <c r="C21" i="1"/>
  <c r="D21" i="1"/>
  <c r="E21" i="1"/>
  <c r="F21" i="1"/>
  <c r="G21" i="1"/>
  <c r="H21" i="1" a="1"/>
  <c r="H21" i="1"/>
  <c r="I21" i="1" a="1"/>
  <c r="I21" i="1"/>
  <c r="J21" i="1" a="1"/>
  <c r="J21" i="1"/>
  <c r="K21" i="1" a="1"/>
  <c r="K21" i="1"/>
  <c r="L21" i="1" a="1"/>
  <c r="L21" i="1"/>
  <c r="M21" i="1" a="1"/>
  <c r="M21" i="1"/>
  <c r="N21" i="1" a="1"/>
  <c r="N21" i="1"/>
  <c r="O21" i="1" a="1"/>
  <c r="O21" i="1"/>
  <c r="U21" i="1" a="1"/>
  <c r="U21" i="1"/>
  <c r="V21" i="1" a="1"/>
  <c r="V21" i="1"/>
  <c r="C22" i="1"/>
  <c r="D22" i="1"/>
  <c r="E22" i="1"/>
  <c r="F22" i="1"/>
  <c r="G22" i="1"/>
  <c r="H22" i="1" a="1"/>
  <c r="H22" i="1"/>
  <c r="I22" i="1" a="1"/>
  <c r="I22" i="1"/>
  <c r="J22" i="1" a="1"/>
  <c r="J22" i="1"/>
  <c r="K22" i="1" a="1"/>
  <c r="K22" i="1"/>
  <c r="L22" i="1" a="1"/>
  <c r="L22" i="1"/>
  <c r="M22" i="1" a="1"/>
  <c r="M22" i="1"/>
  <c r="N22" i="1" a="1"/>
  <c r="N22" i="1"/>
  <c r="O22" i="1" a="1"/>
  <c r="O22" i="1"/>
  <c r="R22" i="1" a="1"/>
  <c r="R22" i="1"/>
  <c r="S22" i="1" a="1"/>
  <c r="S22" i="1"/>
  <c r="U22" i="1" a="1"/>
  <c r="U22" i="1"/>
  <c r="V22" i="1" a="1"/>
  <c r="V22" i="1"/>
  <c r="C23" i="1"/>
  <c r="D23" i="1"/>
  <c r="E23" i="1"/>
  <c r="F23" i="1"/>
  <c r="G23" i="1"/>
  <c r="H23" i="1" a="1"/>
  <c r="H23" i="1"/>
  <c r="I23" i="1" a="1"/>
  <c r="I23" i="1"/>
  <c r="J23" i="1" a="1"/>
  <c r="J23" i="1"/>
  <c r="K23" i="1" a="1"/>
  <c r="K23" i="1"/>
  <c r="L23" i="1" a="1"/>
  <c r="L23" i="1"/>
  <c r="M23" i="1" a="1"/>
  <c r="M23" i="1"/>
  <c r="N23" i="1" a="1"/>
  <c r="N23" i="1"/>
  <c r="O23" i="1" a="1"/>
  <c r="O23" i="1"/>
  <c r="R23" i="1" a="1"/>
  <c r="R23" i="1"/>
  <c r="S23" i="1" a="1"/>
  <c r="S23" i="1"/>
  <c r="U23" i="1" a="1"/>
  <c r="U23" i="1"/>
  <c r="V23" i="1" a="1"/>
  <c r="V23" i="1"/>
  <c r="C24" i="1"/>
  <c r="D24" i="1"/>
  <c r="E24" i="1"/>
  <c r="F24" i="1"/>
  <c r="G24" i="1"/>
  <c r="H24" i="1" a="1"/>
  <c r="H24" i="1"/>
  <c r="I24" i="1" a="1"/>
  <c r="I24" i="1"/>
  <c r="J24" i="1" a="1"/>
  <c r="J24" i="1"/>
  <c r="K24" i="1" a="1"/>
  <c r="K24" i="1"/>
  <c r="L24" i="1" a="1"/>
  <c r="L24" i="1"/>
  <c r="M24" i="1" a="1"/>
  <c r="M24" i="1"/>
  <c r="N24" i="1" a="1"/>
  <c r="N24" i="1"/>
  <c r="O24" i="1" a="1"/>
  <c r="O24" i="1"/>
  <c r="R24" i="1" a="1"/>
  <c r="R24" i="1"/>
  <c r="S24" i="1" a="1"/>
  <c r="S24" i="1"/>
  <c r="U24" i="1" a="1"/>
  <c r="U24" i="1"/>
  <c r="V24" i="1" a="1"/>
  <c r="V24" i="1"/>
  <c r="C25" i="1"/>
  <c r="D25" i="1"/>
  <c r="E25" i="1"/>
  <c r="F25" i="1"/>
  <c r="G25" i="1"/>
  <c r="H25" i="1" a="1"/>
  <c r="H25" i="1"/>
  <c r="I25" i="1" a="1"/>
  <c r="I25" i="1"/>
  <c r="J25" i="1" a="1"/>
  <c r="J25" i="1"/>
  <c r="K25" i="1" a="1"/>
  <c r="K25" i="1"/>
  <c r="L25" i="1" a="1"/>
  <c r="L25" i="1"/>
  <c r="M25" i="1" a="1"/>
  <c r="M25" i="1"/>
  <c r="N25" i="1" a="1"/>
  <c r="N25" i="1"/>
  <c r="O25" i="1" a="1"/>
  <c r="O25" i="1"/>
  <c r="R25" i="1" a="1"/>
  <c r="R25" i="1"/>
  <c r="S25" i="1" a="1"/>
  <c r="S25" i="1"/>
  <c r="U25" i="1" a="1"/>
  <c r="U25" i="1"/>
  <c r="V25" i="1" a="1"/>
  <c r="V25" i="1"/>
  <c r="C27" i="1"/>
  <c r="D27" i="1"/>
  <c r="E27" i="1"/>
  <c r="F27" i="1"/>
  <c r="G27" i="1"/>
  <c r="H27" i="1" a="1"/>
  <c r="H27" i="1"/>
  <c r="I27" i="1" a="1"/>
  <c r="I27" i="1"/>
  <c r="J27" i="1" a="1"/>
  <c r="J27" i="1"/>
  <c r="K27" i="1" a="1"/>
  <c r="K27" i="1"/>
  <c r="L27" i="1" a="1"/>
  <c r="L27" i="1"/>
  <c r="M27" i="1" a="1"/>
  <c r="M27" i="1"/>
  <c r="N27" i="1" a="1"/>
  <c r="N27" i="1"/>
  <c r="O27" i="1" a="1"/>
  <c r="O27" i="1"/>
  <c r="R27" i="1" a="1"/>
  <c r="R27" i="1"/>
  <c r="S27" i="1" a="1"/>
  <c r="S27" i="1"/>
  <c r="U27" i="1" a="1"/>
  <c r="U27" i="1"/>
  <c r="V27" i="1" a="1"/>
  <c r="V27" i="1"/>
  <c r="C28" i="1"/>
  <c r="D28" i="1"/>
  <c r="E28" i="1"/>
  <c r="F28" i="1"/>
  <c r="G28" i="1"/>
  <c r="H28" i="1" a="1"/>
  <c r="H28" i="1"/>
  <c r="I28" i="1" a="1"/>
  <c r="I28" i="1"/>
  <c r="J28" i="1" a="1"/>
  <c r="J28" i="1"/>
  <c r="K28" i="1" a="1"/>
  <c r="K28" i="1"/>
  <c r="L28" i="1" a="1"/>
  <c r="L28" i="1"/>
  <c r="M28" i="1" a="1"/>
  <c r="M28" i="1"/>
  <c r="N28" i="1" a="1"/>
  <c r="N28" i="1"/>
  <c r="O28" i="1" a="1"/>
  <c r="O28" i="1"/>
  <c r="R28" i="1" a="1"/>
  <c r="R28" i="1"/>
  <c r="S28" i="1" a="1"/>
  <c r="S28" i="1"/>
  <c r="U28" i="1" a="1"/>
  <c r="U28" i="1"/>
  <c r="V28" i="1" a="1"/>
  <c r="V28" i="1"/>
  <c r="C29" i="1"/>
  <c r="D29" i="1"/>
  <c r="E29" i="1"/>
  <c r="F29" i="1"/>
  <c r="G29" i="1"/>
  <c r="H29" i="1" a="1"/>
  <c r="H29" i="1"/>
  <c r="I29" i="1" a="1"/>
  <c r="I29" i="1"/>
  <c r="J29" i="1" a="1"/>
  <c r="J29" i="1"/>
  <c r="K29" i="1" a="1"/>
  <c r="K29" i="1"/>
  <c r="L29" i="1" a="1"/>
  <c r="L29" i="1"/>
  <c r="M29" i="1" a="1"/>
  <c r="M29" i="1"/>
  <c r="N29" i="1" a="1"/>
  <c r="N29" i="1"/>
  <c r="O29" i="1" a="1"/>
  <c r="O29" i="1"/>
  <c r="U29" i="1" a="1"/>
  <c r="U29" i="1"/>
  <c r="V29" i="1" a="1"/>
  <c r="V29" i="1"/>
  <c r="C30" i="1"/>
  <c r="D30" i="1"/>
  <c r="E30" i="1"/>
  <c r="F30" i="1"/>
  <c r="G30" i="1"/>
  <c r="H30" i="1" a="1"/>
  <c r="H30" i="1"/>
  <c r="I30" i="1" a="1"/>
  <c r="I30" i="1"/>
  <c r="J30" i="1" a="1"/>
  <c r="J30" i="1"/>
  <c r="K30" i="1" a="1"/>
  <c r="K30" i="1"/>
  <c r="L30" i="1" a="1"/>
  <c r="L30" i="1"/>
  <c r="M30" i="1" a="1"/>
  <c r="M30" i="1"/>
  <c r="N30" i="1" a="1"/>
  <c r="N30" i="1"/>
  <c r="O30" i="1" a="1"/>
  <c r="O30" i="1"/>
  <c r="R30" i="1" a="1"/>
  <c r="R30" i="1"/>
  <c r="S30" i="1" a="1"/>
  <c r="S30" i="1"/>
  <c r="U30" i="1" a="1"/>
  <c r="U30" i="1"/>
  <c r="V30" i="1" a="1"/>
  <c r="V30" i="1"/>
  <c r="C31" i="1"/>
  <c r="D31" i="1"/>
  <c r="E31" i="1"/>
  <c r="F31" i="1"/>
  <c r="G31" i="1"/>
  <c r="H31" i="1" a="1"/>
  <c r="H31" i="1"/>
  <c r="I31" i="1" a="1"/>
  <c r="I31" i="1"/>
  <c r="J31" i="1" a="1"/>
  <c r="J31" i="1"/>
  <c r="K31" i="1" a="1"/>
  <c r="K31" i="1"/>
  <c r="L31" i="1" a="1"/>
  <c r="L31" i="1"/>
  <c r="M31" i="1" a="1"/>
  <c r="M31" i="1"/>
  <c r="N31" i="1" a="1"/>
  <c r="N31" i="1"/>
  <c r="O31" i="1" a="1"/>
  <c r="O31" i="1"/>
  <c r="R31" i="1" a="1"/>
  <c r="R31" i="1"/>
  <c r="S31" i="1" a="1"/>
  <c r="S31" i="1"/>
  <c r="U31" i="1" a="1"/>
  <c r="U31" i="1"/>
  <c r="V31" i="1" a="1"/>
  <c r="V31" i="1"/>
  <c r="C32" i="1"/>
  <c r="D32" i="1"/>
  <c r="E32" i="1"/>
  <c r="F32" i="1"/>
  <c r="G32" i="1"/>
  <c r="H32" i="1" a="1"/>
  <c r="H32" i="1"/>
  <c r="I32" i="1" a="1"/>
  <c r="I32" i="1"/>
  <c r="J32" i="1" a="1"/>
  <c r="J32" i="1"/>
  <c r="K32" i="1" a="1"/>
  <c r="K32" i="1"/>
  <c r="L32" i="1" a="1"/>
  <c r="L32" i="1"/>
  <c r="M32" i="1" a="1"/>
  <c r="M32" i="1"/>
  <c r="N32" i="1" a="1"/>
  <c r="N32" i="1"/>
  <c r="O32" i="1" a="1"/>
  <c r="O32" i="1"/>
  <c r="R32" i="1" a="1"/>
  <c r="R32" i="1"/>
  <c r="S32" i="1" a="1"/>
  <c r="S32" i="1"/>
  <c r="U32" i="1" a="1"/>
  <c r="U32" i="1"/>
  <c r="V32" i="1" a="1"/>
  <c r="V32" i="1"/>
  <c r="C33" i="1"/>
  <c r="D33" i="1"/>
  <c r="E33" i="1"/>
  <c r="F33" i="1"/>
  <c r="G33" i="1"/>
  <c r="H33" i="1" a="1"/>
  <c r="H33" i="1"/>
  <c r="I33" i="1" a="1"/>
  <c r="I33" i="1"/>
  <c r="J33" i="1" a="1"/>
  <c r="J33" i="1"/>
  <c r="K33" i="1" a="1"/>
  <c r="K33" i="1"/>
  <c r="L33" i="1" a="1"/>
  <c r="L33" i="1"/>
  <c r="M33" i="1" a="1"/>
  <c r="M33" i="1"/>
  <c r="N33" i="1" a="1"/>
  <c r="N33" i="1"/>
  <c r="O33" i="1" a="1"/>
  <c r="O33" i="1"/>
  <c r="R33" i="1" a="1"/>
  <c r="R33" i="1"/>
  <c r="S33" i="1" a="1"/>
  <c r="S33" i="1"/>
  <c r="U33" i="1" a="1"/>
  <c r="U33" i="1"/>
  <c r="V33" i="1" a="1"/>
  <c r="V33" i="1"/>
  <c r="C34" i="1"/>
  <c r="D34" i="1"/>
  <c r="E34" i="1"/>
  <c r="F34" i="1"/>
  <c r="G34" i="1"/>
  <c r="H34" i="1" a="1"/>
  <c r="H34" i="1"/>
  <c r="I34" i="1" a="1"/>
  <c r="I34" i="1"/>
  <c r="J34" i="1" a="1"/>
  <c r="J34" i="1"/>
  <c r="K34" i="1" a="1"/>
  <c r="K34" i="1"/>
  <c r="L34" i="1" a="1"/>
  <c r="L34" i="1"/>
  <c r="M34" i="1" a="1"/>
  <c r="M34" i="1"/>
  <c r="N34" i="1" a="1"/>
  <c r="N34" i="1"/>
  <c r="O34" i="1" a="1"/>
  <c r="O34" i="1"/>
  <c r="U34" i="1" a="1"/>
  <c r="U34" i="1"/>
  <c r="V34" i="1" a="1"/>
  <c r="V34" i="1"/>
  <c r="C36" i="1"/>
  <c r="D36" i="1"/>
  <c r="E36" i="1"/>
  <c r="F36" i="1"/>
  <c r="G36" i="1"/>
  <c r="H36" i="1" a="1"/>
  <c r="H36" i="1"/>
  <c r="I36" i="1" a="1"/>
  <c r="I36" i="1"/>
  <c r="J36" i="1" a="1"/>
  <c r="J36" i="1"/>
  <c r="K36" i="1" a="1"/>
  <c r="K36" i="1"/>
  <c r="L36" i="1" a="1"/>
  <c r="L36" i="1"/>
  <c r="M36" i="1" a="1"/>
  <c r="M36" i="1"/>
  <c r="N36" i="1" a="1"/>
  <c r="N36" i="1"/>
  <c r="O36" i="1" a="1"/>
  <c r="O36" i="1"/>
  <c r="R36" i="1" a="1"/>
  <c r="R36" i="1"/>
  <c r="S36" i="1" a="1"/>
  <c r="S36" i="1"/>
  <c r="U36" i="1" a="1"/>
  <c r="U36" i="1"/>
  <c r="V36" i="1" a="1"/>
  <c r="V36" i="1"/>
  <c r="C37" i="1"/>
  <c r="D37" i="1"/>
  <c r="E37" i="1"/>
  <c r="F37" i="1"/>
  <c r="G37" i="1"/>
  <c r="H37" i="1" a="1"/>
  <c r="H37" i="1"/>
  <c r="I37" i="1" a="1"/>
  <c r="I37" i="1"/>
  <c r="J37" i="1" a="1"/>
  <c r="J37" i="1"/>
  <c r="K37" i="1" a="1"/>
  <c r="K37" i="1"/>
  <c r="L37" i="1" a="1"/>
  <c r="L37" i="1"/>
  <c r="M37" i="1" a="1"/>
  <c r="M37" i="1"/>
  <c r="N37" i="1" a="1"/>
  <c r="N37" i="1"/>
  <c r="O37" i="1" a="1"/>
  <c r="O37" i="1"/>
  <c r="R37" i="1" a="1"/>
  <c r="R37" i="1"/>
  <c r="S37" i="1" a="1"/>
  <c r="S37" i="1"/>
  <c r="U37" i="1" a="1"/>
  <c r="U37" i="1"/>
  <c r="V37" i="1" a="1"/>
  <c r="V37" i="1"/>
  <c r="C38" i="1"/>
  <c r="D38" i="1"/>
  <c r="E38" i="1"/>
  <c r="F38" i="1"/>
  <c r="G38" i="1"/>
  <c r="H38" i="1" a="1"/>
  <c r="H38" i="1"/>
  <c r="I38" i="1" a="1"/>
  <c r="I38" i="1"/>
  <c r="J38" i="1" a="1"/>
  <c r="J38" i="1"/>
  <c r="K38" i="1" a="1"/>
  <c r="K38" i="1"/>
  <c r="L38" i="1" a="1"/>
  <c r="L38" i="1"/>
  <c r="M38" i="1" a="1"/>
  <c r="M38" i="1"/>
  <c r="N38" i="1" a="1"/>
  <c r="N38" i="1"/>
  <c r="O38" i="1" a="1"/>
  <c r="O38" i="1"/>
  <c r="R38" i="1" a="1"/>
  <c r="R38" i="1"/>
  <c r="S38" i="1" a="1"/>
  <c r="S38" i="1"/>
  <c r="U38" i="1" a="1"/>
  <c r="U38" i="1"/>
  <c r="V38" i="1" a="1"/>
  <c r="V38" i="1"/>
  <c r="C39" i="1"/>
  <c r="D39" i="1"/>
  <c r="E39" i="1"/>
  <c r="F39" i="1"/>
  <c r="G39" i="1"/>
  <c r="H39" i="1" a="1"/>
  <c r="H39" i="1"/>
  <c r="I39" i="1" a="1"/>
  <c r="I39" i="1"/>
  <c r="J39" i="1" a="1"/>
  <c r="J39" i="1"/>
  <c r="K39" i="1" a="1"/>
  <c r="K39" i="1"/>
  <c r="L39" i="1" a="1"/>
  <c r="L39" i="1"/>
  <c r="M39" i="1" a="1"/>
  <c r="M39" i="1"/>
  <c r="N39" i="1" a="1"/>
  <c r="N39" i="1"/>
  <c r="O39" i="1" a="1"/>
  <c r="O39" i="1"/>
  <c r="R39" i="1" a="1"/>
  <c r="R39" i="1"/>
  <c r="S39" i="1" a="1"/>
  <c r="S39" i="1"/>
  <c r="U39" i="1" a="1"/>
  <c r="U39" i="1"/>
  <c r="V39" i="1" a="1"/>
  <c r="V39" i="1"/>
  <c r="C40" i="1"/>
  <c r="D40" i="1"/>
  <c r="E40" i="1"/>
  <c r="F40" i="1"/>
  <c r="G40" i="1"/>
  <c r="H40" i="1" a="1"/>
  <c r="H40" i="1"/>
  <c r="I40" i="1" a="1"/>
  <c r="I40" i="1"/>
  <c r="J40" i="1" a="1"/>
  <c r="J40" i="1"/>
  <c r="K40" i="1" a="1"/>
  <c r="K40" i="1"/>
  <c r="L40" i="1" a="1"/>
  <c r="L40" i="1"/>
  <c r="M40" i="1" a="1"/>
  <c r="M40" i="1"/>
  <c r="N40" i="1" a="1"/>
  <c r="N40" i="1"/>
  <c r="O40" i="1" a="1"/>
  <c r="O40" i="1"/>
  <c r="R40" i="1" a="1"/>
  <c r="R40" i="1"/>
  <c r="S40" i="1" a="1"/>
  <c r="S40" i="1"/>
  <c r="U40" i="1" a="1"/>
  <c r="U40" i="1"/>
  <c r="V40" i="1" a="1"/>
  <c r="V40" i="1"/>
  <c r="C41" i="1"/>
  <c r="D41" i="1"/>
  <c r="E41" i="1"/>
  <c r="F41" i="1"/>
  <c r="G41" i="1"/>
  <c r="H41" i="1" a="1"/>
  <c r="H41" i="1"/>
  <c r="I41" i="1" a="1"/>
  <c r="I41" i="1"/>
  <c r="J41" i="1" a="1"/>
  <c r="J41" i="1"/>
  <c r="K41" i="1" a="1"/>
  <c r="K41" i="1"/>
  <c r="L41" i="1" a="1"/>
  <c r="L41" i="1"/>
  <c r="M41" i="1" a="1"/>
  <c r="M41" i="1"/>
  <c r="N41" i="1" a="1"/>
  <c r="N41" i="1"/>
  <c r="O41" i="1" a="1"/>
  <c r="O41" i="1"/>
  <c r="R41" i="1" a="1"/>
  <c r="R41" i="1"/>
  <c r="S41" i="1" a="1"/>
  <c r="S41" i="1"/>
  <c r="U41" i="1" a="1"/>
  <c r="U41" i="1"/>
  <c r="V41" i="1" a="1"/>
  <c r="V41" i="1"/>
  <c r="C42" i="1"/>
  <c r="D42" i="1"/>
  <c r="E42" i="1"/>
  <c r="F42" i="1"/>
  <c r="G42" i="1"/>
  <c r="H42" i="1" a="1"/>
  <c r="H42" i="1"/>
  <c r="I42" i="1" a="1"/>
  <c r="I42" i="1"/>
  <c r="J42" i="1" a="1"/>
  <c r="J42" i="1"/>
  <c r="K42" i="1" a="1"/>
  <c r="K42" i="1"/>
  <c r="L42" i="1" a="1"/>
  <c r="L42" i="1"/>
  <c r="M42" i="1" a="1"/>
  <c r="M42" i="1"/>
  <c r="N42" i="1" a="1"/>
  <c r="N42" i="1"/>
  <c r="O42" i="1" a="1"/>
  <c r="O42" i="1"/>
  <c r="R42" i="1" a="1"/>
  <c r="R42" i="1"/>
  <c r="S42" i="1" a="1"/>
  <c r="S42" i="1"/>
  <c r="U42" i="1" a="1"/>
  <c r="U42" i="1"/>
  <c r="V42" i="1" a="1"/>
  <c r="V42" i="1"/>
  <c r="C43" i="1"/>
  <c r="D43" i="1"/>
  <c r="E43" i="1"/>
  <c r="F43" i="1"/>
  <c r="G43" i="1"/>
  <c r="H43" i="1" a="1"/>
  <c r="H43" i="1"/>
  <c r="I43" i="1" a="1"/>
  <c r="I43" i="1"/>
  <c r="J43" i="1" a="1"/>
  <c r="J43" i="1"/>
  <c r="K43" i="1" a="1"/>
  <c r="K43" i="1"/>
  <c r="L43" i="1" a="1"/>
  <c r="L43" i="1"/>
  <c r="M43" i="1" a="1"/>
  <c r="M43" i="1"/>
  <c r="N43" i="1" a="1"/>
  <c r="N43" i="1"/>
  <c r="O43" i="1" a="1"/>
  <c r="O43" i="1"/>
  <c r="R43" i="1" a="1"/>
  <c r="R43" i="1"/>
  <c r="S43" i="1" a="1"/>
  <c r="S43" i="1"/>
  <c r="U43" i="1" a="1"/>
  <c r="U43" i="1"/>
  <c r="V43" i="1" a="1"/>
  <c r="V43" i="1"/>
  <c r="C44" i="1"/>
  <c r="D44" i="1"/>
  <c r="E44" i="1"/>
  <c r="F44" i="1"/>
  <c r="G44" i="1"/>
  <c r="H44" i="1" a="1"/>
  <c r="H44" i="1"/>
  <c r="I44" i="1" a="1"/>
  <c r="I44" i="1"/>
  <c r="J44" i="1" a="1"/>
  <c r="J44" i="1"/>
  <c r="K44" i="1" a="1"/>
  <c r="K44" i="1"/>
  <c r="L44" i="1" a="1"/>
  <c r="L44" i="1"/>
  <c r="M44" i="1" a="1"/>
  <c r="M44" i="1"/>
  <c r="N44" i="1" a="1"/>
  <c r="N44" i="1"/>
  <c r="O44" i="1" a="1"/>
  <c r="O44" i="1"/>
  <c r="R44" i="1" a="1"/>
  <c r="R44" i="1"/>
  <c r="S44" i="1" a="1"/>
  <c r="S44" i="1"/>
  <c r="U44" i="1" a="1"/>
  <c r="U44" i="1"/>
  <c r="V44" i="1" a="1"/>
  <c r="V44" i="1"/>
  <c r="C45" i="1"/>
  <c r="D45" i="1"/>
  <c r="E45" i="1"/>
  <c r="F45" i="1"/>
  <c r="G45" i="1"/>
  <c r="H45" i="1" a="1"/>
  <c r="H45" i="1"/>
  <c r="I45" i="1" a="1"/>
  <c r="I45" i="1"/>
  <c r="J45" i="1" a="1"/>
  <c r="J45" i="1"/>
  <c r="K45" i="1" a="1"/>
  <c r="K45" i="1"/>
  <c r="L45" i="1" a="1"/>
  <c r="L45" i="1"/>
  <c r="M45" i="1" a="1"/>
  <c r="M45" i="1"/>
  <c r="N45" i="1" a="1"/>
  <c r="N45" i="1"/>
  <c r="O45" i="1" a="1"/>
  <c r="O45" i="1"/>
  <c r="R45" i="1" a="1"/>
  <c r="R45" i="1"/>
  <c r="S45" i="1" a="1"/>
  <c r="S45" i="1"/>
  <c r="U45" i="1" a="1"/>
  <c r="U45" i="1"/>
  <c r="V45" i="1" a="1"/>
  <c r="V45" i="1"/>
  <c r="C46" i="1"/>
  <c r="D46" i="1"/>
  <c r="E46" i="1"/>
  <c r="F46" i="1"/>
  <c r="G46" i="1"/>
  <c r="H46" i="1" a="1"/>
  <c r="H46" i="1"/>
  <c r="I46" i="1" a="1"/>
  <c r="I46" i="1"/>
  <c r="J46" i="1" a="1"/>
  <c r="J46" i="1"/>
  <c r="K46" i="1" a="1"/>
  <c r="K46" i="1"/>
  <c r="L46" i="1" a="1"/>
  <c r="L46" i="1"/>
  <c r="M46" i="1" a="1"/>
  <c r="M46" i="1"/>
  <c r="N46" i="1" a="1"/>
  <c r="N46" i="1"/>
  <c r="O46" i="1" a="1"/>
  <c r="O46" i="1"/>
  <c r="R46" i="1" a="1"/>
  <c r="R46" i="1"/>
  <c r="S46" i="1" a="1"/>
  <c r="S46" i="1"/>
  <c r="U46" i="1" a="1"/>
  <c r="U46" i="1"/>
  <c r="V46" i="1" a="1"/>
  <c r="V46" i="1"/>
  <c r="C47" i="1"/>
  <c r="D47" i="1"/>
  <c r="E47" i="1"/>
  <c r="F47" i="1"/>
  <c r="G47" i="1"/>
  <c r="H47" i="1" a="1"/>
  <c r="H47" i="1"/>
  <c r="I47" i="1" a="1"/>
  <c r="I47" i="1"/>
  <c r="J47" i="1" a="1"/>
  <c r="J47" i="1"/>
  <c r="K47" i="1" a="1"/>
  <c r="K47" i="1"/>
  <c r="L47" i="1" a="1"/>
  <c r="L47" i="1"/>
  <c r="M47" i="1" a="1"/>
  <c r="M47" i="1"/>
  <c r="N47" i="1" a="1"/>
  <c r="N47" i="1"/>
  <c r="O47" i="1" a="1"/>
  <c r="O47" i="1"/>
  <c r="R47" i="1" a="1"/>
  <c r="R47" i="1"/>
  <c r="S47" i="1" a="1"/>
  <c r="S47" i="1"/>
  <c r="U47" i="1" a="1"/>
  <c r="U47" i="1"/>
  <c r="V47" i="1" a="1"/>
  <c r="V47" i="1"/>
  <c r="C49" i="1"/>
  <c r="D49" i="1"/>
  <c r="E49" i="1"/>
  <c r="F49" i="1"/>
  <c r="G49" i="1"/>
  <c r="R49" i="1" a="1"/>
  <c r="R49" i="1"/>
  <c r="S49" i="1" a="1"/>
  <c r="S49" i="1"/>
  <c r="H49" i="1"/>
  <c r="I49" i="1" a="1"/>
  <c r="I49" i="1"/>
  <c r="J49" i="1" a="1"/>
  <c r="J49" i="1"/>
  <c r="K49" i="1" a="1"/>
  <c r="K49" i="1"/>
  <c r="L49" i="1" a="1"/>
  <c r="L49" i="1"/>
  <c r="M49" i="1" a="1"/>
  <c r="M49" i="1"/>
  <c r="N49" i="1" a="1"/>
  <c r="N49" i="1"/>
  <c r="O49" i="1" a="1"/>
  <c r="O49" i="1"/>
  <c r="U49" i="1" a="1"/>
  <c r="U49" i="1"/>
  <c r="V49" i="1" a="1"/>
  <c r="V4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<sst xmlns="http://schemas.openxmlformats.org/spreadsheetml/2006/main" count="457" uniqueCount="388">
  <si>
    <t>Sovereign Market Monitoring Model</t>
  </si>
  <si>
    <t>5-yr CDS (mid, bps)</t>
  </si>
  <si>
    <t>Stock Market (%)</t>
  </si>
  <si>
    <t>FX (USD/Loc) (%)</t>
  </si>
  <si>
    <t>Country</t>
  </si>
  <si>
    <t>Rating</t>
  </si>
  <si>
    <t>Now</t>
  </si>
  <si>
    <t>5 day Δ</t>
  </si>
  <si>
    <t>2 week Δ</t>
  </si>
  <si>
    <t>3 month Δ</t>
  </si>
  <si>
    <t>1 year Δ</t>
  </si>
  <si>
    <t>America</t>
  </si>
  <si>
    <t>Brazil</t>
  </si>
  <si>
    <t>Canada</t>
  </si>
  <si>
    <t>Mexico</t>
  </si>
  <si>
    <t>United States</t>
  </si>
  <si>
    <t>Euro Area</t>
  </si>
  <si>
    <t>Austria</t>
  </si>
  <si>
    <t>Belgium</t>
  </si>
  <si>
    <t>Finland</t>
  </si>
  <si>
    <t>France</t>
  </si>
  <si>
    <t>Germany</t>
  </si>
  <si>
    <t>Greece</t>
  </si>
  <si>
    <t>Ireland</t>
  </si>
  <si>
    <t>Italy</t>
  </si>
  <si>
    <t>Luxembourg</t>
  </si>
  <si>
    <t>Netherlands</t>
  </si>
  <si>
    <t>Portugal</t>
  </si>
  <si>
    <t>Slovenia</t>
  </si>
  <si>
    <t>Spain</t>
  </si>
  <si>
    <t>Other Europe</t>
  </si>
  <si>
    <t>United Kingdom</t>
  </si>
  <si>
    <t>Czech Republic</t>
  </si>
  <si>
    <t>Denmark</t>
  </si>
  <si>
    <t>Norway</t>
  </si>
  <si>
    <t>Poland</t>
  </si>
  <si>
    <t>Sweden</t>
  </si>
  <si>
    <t>Switzerland</t>
  </si>
  <si>
    <t>Ukraine</t>
  </si>
  <si>
    <t>Asia/Pacific</t>
  </si>
  <si>
    <t>Australia</t>
  </si>
  <si>
    <t>China</t>
  </si>
  <si>
    <t>Hong Kong</t>
  </si>
  <si>
    <t>India</t>
  </si>
  <si>
    <t>Japan</t>
  </si>
  <si>
    <t>Malaysia</t>
  </si>
  <si>
    <t>New Zealand</t>
  </si>
  <si>
    <t>Russia</t>
  </si>
  <si>
    <t>Singapore</t>
  </si>
  <si>
    <t>South Korea</t>
  </si>
  <si>
    <t>Taiwan</t>
  </si>
  <si>
    <t>Thailand</t>
  </si>
  <si>
    <t>Africa</t>
  </si>
  <si>
    <t>South Africa</t>
  </si>
  <si>
    <t>Data as of: 2026-06-05  |  Source: LSEG Refinitiv</t>
  </si>
  <si>
    <t>ATGV5YUSAC=R</t>
  </si>
  <si>
    <t>BEGV5YUSAC=R</t>
  </si>
  <si>
    <t>FIGV5YUSAC=R</t>
  </si>
  <si>
    <t>FRGV5YUSAC=R</t>
  </si>
  <si>
    <t>DEGV5YUSAC=R</t>
  </si>
  <si>
    <t>GRGV5YUSAC=R</t>
  </si>
  <si>
    <t>IEGV5YUSAC=R</t>
  </si>
  <si>
    <t>ITGV5YUSAC=R</t>
  </si>
  <si>
    <t>LUGV5YUSAC=R</t>
  </si>
  <si>
    <t>NLGV5YUSAC=R</t>
  </si>
  <si>
    <t>PTGV5YUSAC=R</t>
  </si>
  <si>
    <t>SIGV5YUSAC=R</t>
  </si>
  <si>
    <t>ESGV5YUSAC=R</t>
  </si>
  <si>
    <t>GBGV5YUSAC=R</t>
  </si>
  <si>
    <t>CZGV5YUSAC=R</t>
  </si>
  <si>
    <t>DKGV5YUSAC=R</t>
  </si>
  <si>
    <t>NOGV5YUSAC=R</t>
  </si>
  <si>
    <t>PLGV5YUSAC=R</t>
  </si>
  <si>
    <t>SEGV5YUSAC=R</t>
  </si>
  <si>
    <t>CHGV5YUSAC=R</t>
  </si>
  <si>
    <t>UAGV5YUSAC=R</t>
  </si>
  <si>
    <t>AUGV5YUSAC=R</t>
  </si>
  <si>
    <t>CNGV5YUSAC=R</t>
  </si>
  <si>
    <t>HKGV5YUSAC=R</t>
  </si>
  <si>
    <t>INGV5YUSAC=R</t>
  </si>
  <si>
    <t>JPGV5YUSAC=R</t>
  </si>
  <si>
    <t>MYGV5YUSAC=R</t>
  </si>
  <si>
    <t>NZGV5YUSAC=R</t>
  </si>
  <si>
    <t>RUGV5YUSAC=R</t>
  </si>
  <si>
    <t>SGGV5YUSAC=R</t>
  </si>
  <si>
    <t>KRGV5YUSAC=R</t>
  </si>
  <si>
    <t>TWGV5YUSAC=R</t>
  </si>
  <si>
    <t>THGV5YUSAC=R</t>
  </si>
  <si>
    <t>ZAGV5YUSAC=R</t>
  </si>
  <si>
    <t>USGV5YUSAC=R</t>
  </si>
  <si>
    <t>BRGV5YUSAC=R</t>
  </si>
  <si>
    <t>CAGV5YUSAC=R</t>
  </si>
  <si>
    <t>MXGV5YUSAC=R</t>
  </si>
  <si>
    <t>CDS RIC</t>
  </si>
  <si>
    <t>Equity RIC</t>
  </si>
  <si>
    <t>.BVSP</t>
  </si>
  <si>
    <t>.GSPTSE</t>
  </si>
  <si>
    <t>.MXX</t>
  </si>
  <si>
    <t>.SPX</t>
  </si>
  <si>
    <t>.ATX</t>
  </si>
  <si>
    <t>.BFX</t>
  </si>
  <si>
    <t>.OMXH25</t>
  </si>
  <si>
    <t>.FCHI</t>
  </si>
  <si>
    <t>.GDAXI</t>
  </si>
  <si>
    <t>.ATG</t>
  </si>
  <si>
    <t>.ISEQ</t>
  </si>
  <si>
    <t>.FTMIB</t>
  </si>
  <si>
    <t>.AEX</t>
  </si>
  <si>
    <t>.PSI20</t>
  </si>
  <si>
    <t>.SBITOP</t>
  </si>
  <si>
    <t>.IBEX</t>
  </si>
  <si>
    <t>.FTSE</t>
  </si>
  <si>
    <t>.PX</t>
  </si>
  <si>
    <t>.OSEAX</t>
  </si>
  <si>
    <t>.WIG20</t>
  </si>
  <si>
    <t>.OMXS30</t>
  </si>
  <si>
    <t>.SSMI</t>
  </si>
  <si>
    <t>.PFTS</t>
  </si>
  <si>
    <t>Current Price</t>
  </si>
  <si>
    <t>Price 5 days ago</t>
  </si>
  <si>
    <t>.AXJO</t>
  </si>
  <si>
    <t>.SSEC</t>
  </si>
  <si>
    <t>.HSI</t>
  </si>
  <si>
    <t>.BSESN</t>
  </si>
  <si>
    <t>.N225</t>
  </si>
  <si>
    <t>.KLSE</t>
  </si>
  <si>
    <t>.NZ50</t>
  </si>
  <si>
    <t>.IMOEX</t>
  </si>
  <si>
    <t>.STI</t>
  </si>
  <si>
    <t>.KS11</t>
  </si>
  <si>
    <t>.TWII</t>
  </si>
  <si>
    <t>.SETI</t>
  </si>
  <si>
    <t>.JALSH</t>
  </si>
  <si>
    <t>FX RC</t>
  </si>
  <si>
    <t>BRL=</t>
  </si>
  <si>
    <t>CAD=</t>
  </si>
  <si>
    <t>MXN=</t>
  </si>
  <si>
    <t>DXY</t>
  </si>
  <si>
    <t>EUR=</t>
  </si>
  <si>
    <t>GBP=</t>
  </si>
  <si>
    <t>CZK=</t>
  </si>
  <si>
    <t>DKK=</t>
  </si>
  <si>
    <t>NOK=</t>
  </si>
  <si>
    <t>PLN=</t>
  </si>
  <si>
    <t>SEK=</t>
  </si>
  <si>
    <t>CHF=</t>
  </si>
  <si>
    <t>UAH=</t>
  </si>
  <si>
    <t>AUD=</t>
  </si>
  <si>
    <t>CNY=</t>
  </si>
  <si>
    <t>HKD=</t>
  </si>
  <si>
    <t>INR=</t>
  </si>
  <si>
    <t>JPY=</t>
  </si>
  <si>
    <t>MYR=</t>
  </si>
  <si>
    <t>NZD=</t>
  </si>
  <si>
    <t>RUB=</t>
  </si>
  <si>
    <t>SGD=</t>
  </si>
  <si>
    <t>KRW=</t>
  </si>
  <si>
    <t>TWD=</t>
  </si>
  <si>
    <t>THB=</t>
  </si>
  <si>
    <t>ZAR=</t>
  </si>
  <si>
    <t>FX now</t>
  </si>
  <si>
    <t>FX 5 days ago</t>
  </si>
  <si>
    <t>CIQ Code</t>
  </si>
  <si>
    <t>Americas</t>
  </si>
  <si>
    <t>IQT46197138</t>
  </si>
  <si>
    <t>IQT313310184</t>
  </si>
  <si>
    <t>IQT46210560</t>
  </si>
  <si>
    <t>IQT49751196</t>
  </si>
  <si>
    <t>IQT46194995</t>
  </si>
  <si>
    <t>IQT46196225</t>
  </si>
  <si>
    <t>IQT46203332</t>
  </si>
  <si>
    <t>IQT46203714</t>
  </si>
  <si>
    <t>IQT46204300</t>
  </si>
  <si>
    <t>IQT46204884</t>
  </si>
  <si>
    <t>IQT46207308</t>
  </si>
  <si>
    <t>IQT46207571</t>
  </si>
  <si>
    <t>IQT644701797</t>
  </si>
  <si>
    <t>IQT79640024</t>
  </si>
  <si>
    <t>IQT46214954</t>
  </si>
  <si>
    <t>IQT46218516</t>
  </si>
  <si>
    <t>IQT46206779</t>
  </si>
  <si>
    <t>Rest of Europe</t>
  </si>
  <si>
    <t>IQT46262378</t>
  </si>
  <si>
    <t>IQT46200276</t>
  </si>
  <si>
    <t>IQT79639913</t>
  </si>
  <si>
    <t>IQT51023480</t>
  </si>
  <si>
    <t>IQT46214879</t>
  </si>
  <si>
    <t>IQT46219922</t>
  </si>
  <si>
    <t>IQT60389516</t>
  </si>
  <si>
    <t>IQT46222292</t>
  </si>
  <si>
    <t>IQT51023260</t>
  </si>
  <si>
    <t>IQT46215111</t>
  </si>
  <si>
    <t>IQT79639953</t>
  </si>
  <si>
    <t>IQT60388057</t>
  </si>
  <si>
    <t>IQT46207789</t>
  </si>
  <si>
    <t>IQT46210032</t>
  </si>
  <si>
    <t>IQT46213472</t>
  </si>
  <si>
    <t>IQT46216986</t>
  </si>
  <si>
    <t>IQT313305879</t>
  </si>
  <si>
    <t>IQT46208634</t>
  </si>
  <si>
    <t>IQT46220803</t>
  </si>
  <si>
    <t xml:space="preserve"> 5 Day Change</t>
  </si>
  <si>
    <t>10 day change</t>
  </si>
  <si>
    <t>14 day change</t>
  </si>
  <si>
    <t>3 month change</t>
  </si>
  <si>
    <t>1 year change</t>
  </si>
  <si>
    <t>Thresholds</t>
  </si>
  <si>
    <t>CDS</t>
  </si>
  <si>
    <t>CDS Change</t>
  </si>
  <si>
    <t>IQT46218674</t>
  </si>
  <si>
    <t>Citigroup</t>
  </si>
  <si>
    <t>IQT46197694</t>
  </si>
  <si>
    <t>Bank of America</t>
  </si>
  <si>
    <t>IQT46195491</t>
  </si>
  <si>
    <t>JPMorgan Chase &amp; Co</t>
  </si>
  <si>
    <t>IQT46207872</t>
  </si>
  <si>
    <t>Goldman Sachs Group</t>
  </si>
  <si>
    <t>IQT46204957</t>
  </si>
  <si>
    <t>Morgan Stanley</t>
  </si>
  <si>
    <t>IQT46470877</t>
  </si>
  <si>
    <t>Wells Fargo</t>
  </si>
  <si>
    <t>IQT46223646</t>
  </si>
  <si>
    <t>State Street Bank &amp; Trust</t>
  </si>
  <si>
    <t>IQT323680130</t>
  </si>
  <si>
    <t>BNP Paribas SA</t>
  </si>
  <si>
    <t>IQT46225006</t>
  </si>
  <si>
    <t>Credit Agricole SA</t>
  </si>
  <si>
    <t>IQT46224740</t>
  </si>
  <si>
    <t>Societe Generale SA</t>
  </si>
  <si>
    <t>IQT46226132</t>
  </si>
  <si>
    <t>UBS Group AG**</t>
  </si>
  <si>
    <t>IQT528936812</t>
  </si>
  <si>
    <t>Credit Suisse Group AG</t>
  </si>
  <si>
    <t>IQT46199841</t>
  </si>
  <si>
    <t>U.K.</t>
  </si>
  <si>
    <t>Barclays Bank PLC</t>
  </si>
  <si>
    <t>IQT286096131</t>
  </si>
  <si>
    <t>HSBC Holdings PLC</t>
  </si>
  <si>
    <t>IQT46225374</t>
  </si>
  <si>
    <t>RBS Group PLC</t>
  </si>
  <si>
    <t>IQT263213132</t>
  </si>
  <si>
    <t>Standard Chartered Bank</t>
  </si>
  <si>
    <t>IQT254955233</t>
  </si>
  <si>
    <t>Deutche Bank AG</t>
  </si>
  <si>
    <t>IQT46200412</t>
  </si>
  <si>
    <t>Commerzbank</t>
  </si>
  <si>
    <t>IQT46225083</t>
  </si>
  <si>
    <t>Danske</t>
  </si>
  <si>
    <t>IQT46200364</t>
  </si>
  <si>
    <t>Mitsubishi</t>
  </si>
  <si>
    <t xml:space="preserve">IQT46225715 </t>
  </si>
  <si>
    <t>Sumitomo</t>
  </si>
  <si>
    <t>IQT62270107</t>
  </si>
  <si>
    <t>Mizuho</t>
  </si>
  <si>
    <t>IQT79634901</t>
  </si>
  <si>
    <t>Daiwa</t>
  </si>
  <si>
    <t>IQT46200317</t>
  </si>
  <si>
    <t>Nomura</t>
  </si>
  <si>
    <t>IQT62270106</t>
  </si>
  <si>
    <t>Bank of Nova Scotia</t>
  </si>
  <si>
    <t>IQT313310854</t>
  </si>
  <si>
    <t>BMO</t>
  </si>
  <si>
    <t>IQT313314976</t>
  </si>
  <si>
    <t>CIBC</t>
  </si>
  <si>
    <t>IQT313315429</t>
  </si>
  <si>
    <t>TD</t>
  </si>
  <si>
    <t>IQT46220329</t>
  </si>
  <si>
    <t>RBC</t>
  </si>
  <si>
    <t>IQT313317344</t>
  </si>
  <si>
    <t>Nationale</t>
  </si>
  <si>
    <t>IQT313313524</t>
  </si>
  <si>
    <t>Laurentian</t>
  </si>
  <si>
    <t>.LUXX</t>
  </si>
  <si>
    <t>.OMXC25CAP</t>
  </si>
  <si>
    <t>Threshold  (Green)</t>
  </si>
  <si>
    <t>Threshold Red</t>
  </si>
  <si>
    <t>BAABTAVMT0NBTAFI/////wFQGwQAACNDSVEuSVFUNDYxOTQ5OTUuSVFfQ0RTX01JRC4xNy8wNy8yNQEAAABuEDEAAgAAAAYxNC44NzUATUu4lBfk3gj/PcOgF+TeCCNDSVEuSVFUNDYyMjIyOTIuSVFfQ0RTX01JRC4xNy8wNy8yNQEAAADRkZsBAgAAAAoxNDc4Ny4zMjkzAE1LuJQX5N4I/z3DoBfk3ggjQ0lRLklRVDQ2MjI1MDA2LklRX0NEU19NSUQuMTcvMDcvMjUBAAAA+FUNAAIAAAAFNDIuNjUATUu4lBfk3gjMKsSgF+TeCCNDSVEuSVFUNDYyMjAzMjkuSVFfQ0RTX01JRC4xNy8wNy8yNQEAAADbWwAAAgAAAAc0Ni42MzkyALvAV5QX5N4IzCrEoBfk3ggjQ0lRLklRVDQ2MjYyMzc4LklRX0NEU19NSUQuMTUvMDcvMjYBAAAAQNKJAQIAAAAHMTguNTQ5NwBNS7iUF+TeCBXvtqAX5N4II0NJUS5JUVQ0NjE5NzY5NC5JUV9DRFNfTUlELjE1LzA3LzI2AQAAAAf6BQACAAAABzUyLjkzNDYATUu4lBfk3ghDJLegF+TeCCNDSVEuSVFUNjIyNzAxMDcuSVFfQ0RTX01JRC4xNS8wNy8yNgEAAAAVWQAAAgAAAAc0MS44MTc4AE1LuJQX5N4IQyS3oBfk3ggjQ0lRLklRVDQ2MjA3MzA4LklRX0NEU19NSUQuMDYvMDcvMjYBAAAAOYl6AQIAAAACMTQATUu4lBfk3ggMb8agF+TeCCNDSVEuSVFUNDYyMTAwMzIuSVFfQ0RTX01JRC4wNi8wNy8yNgEAAACPVaMBAgAAAAczNy4wODc1AE1LuJQX5N4IDG/GoBfk3ggjQ0lRLklR</t>
  </si>
  <si>
    <t>VDQ2MjI1Mzc0LklRX0NEU19NSUQuMDYvMDcvMjYBAAAAtdYFAAIAAAAHMzcuODEyNABNS7iUF+TeCHI4x6AX5N4II0NJUS5JUVQ0OTc1MTE5Ni5JUV9DRFNfTUlELjA0LzA3LzI2AQAAAM2ZvQACAAAABzQyLjA3MTUATUu4lBfk3ghTwcigF+TeCCNDSVEuSVFUNjAzODk1MTYuSVFfQ0RTX01JRC4wNC8wNy8yNgEAAACl8MMBAgAAAAY3LjI0MTEATUu4lBfk3gixhsmgF+TeCCRDSVEuSVFUMzIzNjgwMTMwLklRX0NEU19NSUQuMDQvMDcvMjYBAAAAceECAAIAAAAHNTEuNDk0OQBNS7iUF+TeCLGGyaAX5N4IJENJUS5JUVQzMTMzMTU0MjkuSVFfQ0RTX01JRC4wNC8wNy8yNgEAAAA55wUAAgAAAAc2MS4xNzM0ALvAV5QX5N4ICj3KoBfk3ggjQ0lRLklRVDQ2MjA2Nzc5LklRX0NEU19NSUQuMTcvMDQvMjYBAAAA/O82AAIAAAAHMTYuODMzMwBNS7iUF+TeCJYLyKAX5N4II0NJUS5JUVQ0NjIxODY3NC5JUV9DRFNfTUlELjE3LzA0LzI2AQAAAFfKNgACAAAACDE0NS42Njg2AE1LuJQX5N4IlgvIoBfk3ggjQ0lRLklRVDQ2MjA0ODg0LklRX0NEU19NSUQuMTQvMDcvMjYBAAAAgVHAAQIAAAAHMjkuMzUwNwBNS7iUF+TeCD3tt6AX5N4IJENJUS5JUVQyODYwOTYxMzEuSVFfQ0RTX01JRC4xNC8wNy8yNgEAAAA78QQAAgAAAAc2MC45MDA3AE1LuJQX5N4IPe23oBfk3ggkQ0lRLklRVDMxMzMxNDk3Ni5JUV9DRFNfTUlE</t>
  </si>
  <si>
    <t>LjEzLzA3LzI2AQAAAG1KAAACAAAABDU2LjUAu8BXlBfk3ghy3bSgF+TeCCNDSVEuSVFUNzk2Mzk5NTMuSVFfQ0RTX01JRC4wMy8wNy8yNgEAAAA0m1YBAgAAAAcyNC44ODM1AE1LuJQX5N4IxJ/CoBfk3ggkQ0lRLklRVDMxMzMxMzUyNC5JUV9DRFNfTUlELjEzLzA3LzI2AQAAAO9VDQACAAAABzYwLjQ4MDEAu8BXlBfk3ghy3bSgF+TeCCNDSVEuSVFUNDYxOTYyMjUuSVFfQ0RTX01JRC4wNy8wNy8yNgEAAAC+VaMBAgAAAAQxNy40AE1LuJQX5N4I92K+oBfk3ggjQ0lRLklRVDQ2MjI0NzQwLklRX0NEU19NSUQuMDcvMDcvMjYBAAAA03IIAAIAAAAEMzMuMgBNS7iUF+TeCBmKv6AX5N4II0NJUS5JUVQ0NjE5NTQ5MS5JUV9DRFNfTUlELjA1LzA3LzI2AQAAAGlKAAACAAAABzU0Ljk3MTMATUu4lBfk3ghlE8GgF+TeCCNDSVEuSVFUNDk3NTExOTYuSVFfQ0RTX01JRC4xNy8wNC8yNgEAAADNmb0AAgAAAAczOC4zMzMzAE1LuJQX5N4IcjjHoBfk3ggkQ0lRLklRVDI1NDk1NTIzMy5JUV9DRFNfTUlELjE3LzA3LzI1AQAAADlWCgACAAAABzU3LjI0MDEATUu4lBfk3gjMKsSgF+TeCCNDSVEuSVFUNzk2MzQ5MDEuSVFfQ0RTX01JRC4wNi8wNy8yNgEAAACcBhAAAgAAAAc0My4yMzc1AE1LuJQX5N4IcjjHoBfk3ggjQ0lRLklRVDQ2MTk3MTM4LklRX0NEU19NSUQuMTEvMDcvMjYBAAAA7pQ4AQIAAAAIMTIzLjY2MDcA</t>
  </si>
  <si>
    <t>TUu4lBfk3ggGRLqgF+TeCCNDSVEuSVFUNTEwMjM0ODAuSVFfQ0RTX01JRC4xMS8wNy8yNgEAAADCRfEBAgAAAAY0LjQ5OTYATUu4lBfk3ggx9LqgF+TeCCNDSVEuSVFUNDYyMDQ5NTcuSVFfQ0RTX01JRC4xMS8wNy8yNgEAAAAhFQYAAgAAAAc1My44NjI3AE1LuJQX5N4IMfS6oBfk3ggjQ0lRLklRVDYyMjcwMTA2LklRX0NEU19NSUQuMTEvMDcvMjYBAAAArXeDAAIAAAAHNzQuODg3OQC7wFeUF+TeCLvvu6AX5N4II0NJUS5JUVQ3OTY0MDAyNC5JUV9DRFNfTUlELjA5LzA3LzI2AQAAADWPmwECAAAABDcuNzUATUu4lBfk3gjimr2gF+TeCCRDSVEuSVFUMzEzMzA1ODc5LklRX0NEU19NSUQuMDkvMDcvMjYBAAAAhNbcAQMAAAAAAE1LuJQX5N4I+hK+oBfk3ggjQ0lRLklRVDQ2MjAwNDEyLklRX0NEU19NSUQuMDkvMDcvMjYBAAAAY0MGAAIAAAAHNDYuNzQ1OABNS7iUF+TeCPdivqAX5N4II0NJUS5JUVQ3OTYzOTkxMy5JUV9DRFNfTUlELjE2LzA3LzI2AQAAACBjHAICAAAABjcuODMzMwBNS7iUF+TeCHLdtKAX5N4II0NJUS5JUVQ0NjIwNzg3Mi5JUV9DRFNfTUlELjE2LzA3LzI2AQAAAFgNCgACAAAABzQwLjQ2NjcATUu4lBfk3ghy3bSgF+TeCCNDSVEuSVFUNDYyMDAzMTcuSVFfQ0RTX01JRC4xNi8wNy8yNgEAAAD+VA0AAgAAAAY2My41OTUAu8BXlBfk3ghONLagF+TeCCRDSVEuSVFUNjQ0NzAxNzk3LklR</t>
  </si>
  <si>
    <t>X0NEU19NSUQuMDgvMDcvMjYBAAAAUz99AQIAAAAGOS45NDk4AE1LuJQX5N4IM/PEoBfk3ggjQ0lRLklRVDQ2MjE2OTg2LklRX0NEU19NSUQuMDgvMDcvMjYBAAAAzkQ4AQMAAAAAAE1LuJQX5N4IM/PEoBfk3ggkQ0lRLklRVDI1NDk1NTIzMy5JUV9DRFNfTUlELjA4LzA3LzI2AQAAADlWCgACAAAABjQzLjM2NQBNS7iUF+TeCF+pxaAX5N4II0NJUS5JUVQ0NjE5NjIyNS5JUV9DRFNfTUlELjE3LzA3LzI1AQAAAL5VowECAAAABTIzLjI1AE1LuJQX5N4I/z3DoBfk3ggjQ0lRLklRVDUxMDIzMjYwLklRX0NEU19NSUQuMTcvMDcvMjUBAAAAsRF/AQIAAAAHMTAuNjQ4NABNS7iUF+TeCP89w6AX5N4II0NJUS5JUVQ0NjIyNDc0MC5JUV9DRFNfTUlELjE3LzA3LzI1AQAAANNyCAACAAAABzM4Ljc5MjkATUu4lBfk3gjMKsSgF+TeCCRDSVEuSVFUMzEzMzE3MzQ0LklRX0NEU19NSUQuMTcvMDcvMjUBAAAA8awBAAIAAAAGNDEuMTc1ALvAV5QX5N4IzCrEoBfk3ggjQ0lRLklRVDQ2MjAwMjc2LklRX0NEU19NSUQuMTUvMDcvMjYBAAAAlnd8AQIAAAAHMjkuNzQ4NQBNS7iUF+TeCBXvtqAX5N4II0NJUS5JUVQ0NjE5NTQ5MS5JUV9DRFNfTUlELjE1LzA3LzI2AQAAAGlKAAACAAAABTU0Ljk5AE1LuJQX5N4IQyS3oBfk3ggjQ0lRLklRVDc5NjM0OTAxLklRX0NEU19NSUQuMTUvMDcvMjYBAAAAnAYQAAIAAAAHNDEuMDg5</t>
  </si>
  <si>
    <t>MgBNS7iUF+TeCEMkt6AX5N4II0NJUS5JUVQ0NjIwNzU3MS5JUV9DRFNfTUlELjA2LzA3LzI2AQAAAG3vNQACAAAABzI4LjQzNzUATUu4lBfk3ggMb8agF+TeCCNDSVEuSVFUNDYyMTM0NzIuSVFfQ0RTX01JRC4wNi8wNy8yNgEAAAC5WjgAAgAAAAYxNC45NzkATUu4lBfk3ggMb8agF+TeCCRDSVEuSVFUMjYzMjEzMTMyLklRX0NEU19NSUQuMDYvMDcvMjYBAAAA4ZoIAAIAAAAHNTQuNzM5MwBNS7iUF+TeCHI4x6AX5N4II0NJUS5JUVQ0NjE5NDk5NS5JUV9DRFNfTUlELjA0LzA3LzI2AQAAAG4QMQACAAAAAjExAE1LuJQX5N4IU8HIoBfk3ggjQ0lRLklRVDQ2MjIyMjkyLklRX0NEU19NSUQuMDQvMDcvMjYBAAAA0ZGbAQIAAAAINzU4LjgzMjYATUu4lBfk3gixhsmgF+TeCCNDSVEuSVFUNDYyMjUwMDYuSVFfQ0RTX01JRC4wNC8wNy8yNgEAAAD4VQ0AAgAAAAc0MS4yMTUzAE1LuJQX5N4IsYbJoBfk3ggjQ0lRLklRVDQ2MjIwMzI5LklRX0NEU19NSUQuMDQvMDcvMjYBAAAA21sAAAIAAAACNTYAu8BXlBfk3ggKPcqgF+TeCCNDSVEuSVFUNDYyNjIzNzguSVFfQ0RTX01JRC4xNy8wNC8yNgEAAABA0okBAgAAAAIxOQBNS7iUF+TeCJYLyKAX5N4II0NJUS5JUVQ0NjE5NzY5NC5JUV9DRFNfTUlELjE3LzA0LzI2AQAAAAf6BQACAAAABzU3LjI1OTUATUu4lBfk3giWC8igF+TeCCNDSVEuSVFUNjIyNzAxMDcuSVFf</t>
  </si>
  <si>
    <t>Q0RTX01JRC4xNy8wNC8yNgEAAAAVWQAAAgAAAAczOS40MjI3AE1LuJQX5N4IU8HIoBfk3ggjQ0lRLklRVDQ2MjA3MzA4LklRX0NEU19NSUQuMTQvMDcvMjYBAAAAOYl6AQIAAAAEMTQuNQBNS7iUF+TeCD3tt6AX5N4II0NJUS5JUVQ0NjIxMDAzMi5JUV9DRFNfTUlELjE0LzA3LzI2AQAAAI9VowECAAAABTM3LjA1AE1LuJQX5N4IPe23oBfk3ggjQ0lRLklRVDQ2MjI1Mzc0LklRX0NEU19NSUQuMTQvMDcvMjYBAAAAtdYFAAIAAAAHMzguNzY1NgBNS7iUF+TeCD3tt6AX5N4IJENJUS5JUVQzMjM2ODAxMzAuSVFfQ0RTX01JRC4xMy8wNy8yNgEAAABx4QIAAgAAAAc1Mi44NTUzAE1LuJQX5N4I/ie0oBfk3ggkQ0lRLklRVDMxMzMxNTQyOS5JUV9DRFNfTUlELjEzLzA3LzI2AQAAADnnBQACAAAABzYyLjMzMzMAu8BXlBfk3ghy3bSgF+TeCCNDSVEuSVFUNDYyMDY3NzkuSVFfQ0RTX01JRC4xMi8wNy8yNgEAAAD87zYAAgAAAAcxNi4xNjY3AE1LuJQX5N4ITIC5oBfk3ggjQ0lRLklRVDQ2MjE4Njc0LklRX0NEU19NSUQuMTIvMDcvMjYBAAAAV8o2AAIAAAAIMTIzLjMzNzgATUu4lBfk3ghMgLmgF+TeCCNDSVEuSVFUNDYyMjU3MTUuSVFfQ0RTX01JRC4xMi8wNy8yNgEAAAC35QQAAgAAAAc0MC4yNzY2AE1LuJQX5N4IBkS6oBfk3ggjQ0lRLklRVDQ2MjA0ODg0LklRX0NEU19NSUQuMTAvMDcvMjYBAAAAgVHAAQIA</t>
  </si>
  <si>
    <t>AAAHMjkuMTg3NQBNS7iUF+TeCLvvu6AX5N4II0NJUS5JUVQ0NjIwNzc4OS5JUV9DRFNfTUlELjEwLzA3LzI2AQAAACpYowECAAAABzI2LjUxNjMATUu4lBfk3ghIkrygF+TeCCRDSVEuSVFUMjg2MDk2MTMxLklRX0NEU19NSUQuMTAvMDcvMjYBAAAAO/EEAAIAAAAHNjAuMTg5NABNS7iUF+TeCEiSvKAX5N4II0NJUS5JUVQ0NjIxMDU2MC5JUV9DRFNfTUlELjA3LzA3LzI2AQAAAPYaNwACAAAABzg1LjQ5NjUATUu4lBfk3gj3Yr6gF+TeCCNDSVEuSVFUNDYyMTk5MjIuSVFfQ0RTX01JRC4wNy8wNy8yNgEAAADWRzkBAgAAAAM3LjUATUu4lBfk3ggZir+gF+TeCCNDSVEuSVFUNDYyMjM2NDYuSVFfQ0RTX01JRC4wNy8wNy8yNgEAAAAbeAQAAgAAAAc0Ny41OTk2AE1LuJQX5N4IGYq/oBfk3ggkQ0lRLklRVDMxMzMxNDk3Ni5JUV9DRFNfTUlELjA3LzA3LzI2AQAAAG1KAAACAAAAAjU2ALvAV5QX5N4IGYq/oBfk3ggjQ0lRLklRVDQ2MjE4NTE2LklRX0NEU19NSUQuMDUvMDcvMjYBAAAAplWjAQIAAAAHMzcuNTUxNwBNS7iUF+TeCFHYwKAX5N4II0NJUS5JUVQ0NjIyMDgwMy5JUV9DRFNfTUlELjA1LzA3LzI2AQAAANbJNgACAAAAAjQwAE1LuJQX5N4IZRPBoBfk3ggjQ0lRLklRVDQ2MjAwMzY0LklRX0NEU19NSUQuMDUvMDcvMjYBAAAAV4YIAAIAAAAGMjQuODc1AE1LuJQX5N4ILtjBoBfk3ggjQ0lRLklRVDQ2</t>
  </si>
  <si>
    <t>MjA0MzAwLklRX0NEU19NSUQuMDMvMDcvMjYBAAAA9iV9AAIAAAAGNy4wMTY1AE1LuJQX5N4ILtjBoBfk3ggjQ0lRLklRVDYwMzg4MDU3LklRX0NEU19NSUQuMDMvMDcvMjYBAAAA38l9AQMAAAAAAE1LuJQX5N4IxJ/CoBfk3ggjQ0lRLklRVDQ2MTk5ODQxLklRX0NEU19NSUQuMDMvMDcvMjYBAAAA6zAGAAMAAAAAAE1LuJQX5N4IxJ/CoBfk3ggkQ0lRLklRVDMxMzMxNTQyOS5JUV9DRFNfTUlELjA3LzA3LzI2AQAAADnnBQACAAAABzYxLjg2MjkAu8BXlBfk3ggZir+gF+TeCCNDSVEuSVFUNDYyMDY3NzkuSVFfQ0RTX01JRC4wNS8wNy8yNgEAAAD87zYAAgAAAAcxNS44MTI1AE1LuJQX5N4IUdjAoBfk3ggjQ0lRLklRVDQ2MjE4Njc0LklRX0NEU19NSUQuMDUvMDcvMjYBAAAAV8o2AAIAAAAIMTI1Ljk1OTEATUu4lBfk3ghlE8GgF+TeCCNDSVEuSVFUNDYyMjU3MTUuSVFfQ0RTX01JRC4wNS8wNy8yNgEAAAC35QQAAgAAAAczOS40MzYxAE1LuJQX5N4ILtjBoBfk3ggjQ0lRLklRVDQ2MjA0ODg0LklRX0NEU19NSUQuMDMvMDcvMjYBAAAAgVHAAQIAAAAGMjguOTk2AE1LuJQX5N4ILtjBoBfk3ggjQ0lRLklRVDQ2MjA3Nzg5LklRX0NEU19NSUQuMDMvMDcvMjYBAAAAKlijAQIAAAAHMjYuNjM4MwBNS7iUF+TeCMSfwqAX5N4IJENJUS5JUVQyODYwOTYxMzEuSVFfQ0RTX01JRC4wMy8wNy8yNgEAAAA78QQAAgAA</t>
  </si>
  <si>
    <t>AAc2MS41NDI5AE1LuJQX5N4IxJ/CoBfk3ggkQ0lRLklRVDMxMzMwNTg3OS5JUV9DRFNfTUlELjA2LzA3LzI2AQAAAITW3AEDAAAAAABNS7iUF+TeCAxvxqAX5N4II0NJUS5JUVQ0NjIwMDQxMi5JUV9DRFNfTUlELjA2LzA3LzI2AQAAAGNDBgACAAAABjQ3LjM3NQBNS7iUF+TeCHI4x6AX5N4II0NJUS5JUVQ0NjIwMzMzMi5JUV9DRFNfTUlELjA0LzA3LzI2AQAAAF8eNwACAAAABjExLjM3NQBNS7iUF+TeCFPByKAX5N4II0NJUS5JUVQ0NjIxNTExMS5JUV9DRFNfTUlELjA0LzA3LzI2AQAAAKBLsgECAAAABzM3LjAzMzEATUu4lBfk3gixhsmgF+TeCCNDSVEuSVFUNDYyMjYxMzIuSVFfQ0RTX01JRC4wNC8wNy8yNgEAAADdWQAAAgAAAAY0MS40ODUATUu4lBfk3gixhsmgF+TeCCRDSVEuSVFUMzEzMzEzNTI0LklRX0NEU19NSUQuMDQvMDcvMjYBAAAA71UNAAIAAAAHNjAuMDE3NAC7wFeUF+TeCAo9yqAX5N4II0NJUS5JUVQ3OTYzOTkxMy5JUV9DRFNfTUlELjE3LzA0LzI2AQAAACBjHAICAAAAATkATUu4lBfk3giWC8igF+TeCCNDSVEuSVFUNDYyMDc4NzIuSVFfQ0RTX01JRC4xNy8wNC8yNgEAAABYDQoAAgAAAAczOS40NzQ1AE1LuJQX5N4IlgvIoBfk3ggkQ0lRLklRVDY0NDcwMTc5Ny5JUV9DRFNfTUlELjE0LzA3LzI2AQAAAFM/fQECAAAABzEwLjYzMDQATUu4lBfk3gg97begF+TeCCNDSVEuSVFUNDYy</t>
  </si>
  <si>
    <t>MjQ3NDAuSVFfQ0RTX01JRC4xMy8wNy8yNgEAAADTcggAAgAAAAYzMy43MjUATUu4lBfk3gj+J7SgF+TeCCNDSVEuSVFUNDYyMDAyNzYuSVFfQ0RTX01JRC4xMi8wNy8yNgEAAACWd3wBAgAAAAcyOC4wMjkyAE1LuJQX5N4ITIC5oBfk3ggjQ0lRLklRVDQ2MjA3NTcxLklRX0NEU19NSUQuMTAvMDcvMjYBAAAAbe81AAIAAAAGMjkuMzA1AE1LuJQX5N4Iu++7oBfk3ggjQ0lRLklRVDQ2MjEzNDcyLklRX0NEU19NSUQuMTAvMDcvMjYBAAAAuVo4AAIAAAAHMTUuMDAwNQBNS7iUF+TeCEiSvKAX5N4IJENJUS5JUVQyNjMyMTMxMzIuSVFfQ0RTX01JRC4xMC8wNy8yNgEAAADhmggAAgAAAAc1NC45OTQ0AE1LuJQX5N4ISJK8oBfk3ggjQ0lRLklRVDQ2MTk0OTk1LklRX0NEU19NSUQuMDcvMDcvMjYBAAAAbhAxAAIAAAAEMTAuOQBNS7iUF+TeCPdivqAX5N4II0NJUS5JUVQ0NjIyMjI5Mi5JUV9DRFNfTUlELjA3LzA3LzI2AQAAANGRmwECAAAACDc1OC44NDUzAE1LuJQX5N4IGYq/oBfk3ggjQ0lRLklRVDQ2MjYyMzc4LklRX0NEU19NSUQuMDUvMDcvMjYBAAAAQNKJAQIAAAAGMTcuODc1AE1LuJQX5N4IZRPBoBfk3ggjQ0lRLklRVDQ2MjEwMDMyLklRX0NEU19NSUQuMDMvMDcvMjYBAAAAj1WjAQIAAAAHMzcuNDEyNQBNS7iUF+TeCMSfwqAX5N4II0NJUS5JUVQ1MTAyMzI2MC5JUV9DRFNfTUlELjA3LzA3LzI2AQAA</t>
  </si>
  <si>
    <t>ALERfwECAAAABjEzLjYyNQBNS7iUF+TeCBmKv6AX5N4II0NJUS5JUVQ0NjIwMDI3Ni5JUV9DRFNfTUlELjA1LzA3LzI2AQAAAJZ3fAECAAAABzI2LjQyMjkATUu4lBfk3ghlE8GgF+TeCCNDSVEuSVFUNDYyMTM0NzIuSVFfQ0RTX01JRC4wMy8wNy8yNgEAAAC5WjgAAgAAAAcxNC45ODk1AE1LuJQX5N4IxJ/CoBfk3ggjQ0lRLklRVDQ2MjA0OTU3LklRX0NEU19NSUQuMTIvMDcvMjYBAAAAIRUGAAIAAAAHNTMuODYyNwBNS7iUF+TeCEyAuaAX5N4II0NJUS5JUVQ0NjIxNTExMS5JUV9DRFNfTUlELjA3LzA3LzI2AQAAAKBLsgECAAAABzM2Ljg3NDgATUu4lBfk3ggZir+gF+TeCCRDSVEuSVFUNjQ0NzAxNzk3LklRX0NEU19NSUQuMDMvMDcvMjYBAAAAUz99AQIAAAAHMTAuMDE4OABNS7iUF+TeCC7YwaAX5N4II0NJUS5JUVQ0NjIyNTM3NC5JUV9DRFNfTUlELjA0LzA3LzI2AQAAALXWBQACAAAABDM4LjEATUu4lBfk3gixhsmgF+TeCCNDSVEuSVFUNDYyMTA1NjAuSVFfQ0RTX01JRC4xMi8wNy8yNgEAAAD2GjcAAgAAAAc4NC42NTQ3AE1LuJQX5N4IPe23oBfk3ggjQ0lRLklRVDQ2MjIwODAzLklRX0NEU19NSUQuMTAvMDcvMjYBAAAA1sk2AAIAAAAHNDEuMTA2NABNS7iUF+TeCEiSvKAX5N4II0NJUS5JUVQ0NjIxNDg3OS5JUV9DRFNfTUlELjA1LzA3LzI2AQAAAPUaNwACAAAABzUwLjU0ODYATUu4lBfk3ghl</t>
  </si>
  <si>
    <t>E8GgF+TeCCNDSVEuSVFUNDYyMDQ5NTcuSVFfQ0RTX01JRC4wOS8wNy8yNgEAAAAhFQYAAgAAAAQ1My4zAE1LuJQX5N4I92K+oBfk3ggjQ0lRLklRVDQ2MjYyMzc4LklRX0NEU19NSUQuMTQvMDcvMjYBAAAAQNKJAQIAAAAEMTguNgBNS7iUF+TeCD3tt6AX5N4IJENJUS5JUVQzMjM2ODAxMzAuSVFfQ0RTX01JRC4xMi8wNy8yNgEAAABx4QIAAgAAAAc1Mi41MzM1AE1LuJQX5N4IBkS6oBfk3ggjQ0lRLklRVDQ2MjA3Nzg5LklRX0NEU19NSUQuMDcvMDcvMjYBAAAAKlijAQIAAAAHMjYuNTQ1NABNS7iUF+TeCBmKv6AX5N4II0NJUS5JUVQ0NjIxOTkyMi5JUV9DRFNfTUlELjA1LzA3LzI2AQAAANZHOQECAAAAAzcuNQBNS7iUF+TeCGUTwaAX5N4IJENJUS5JUVQzMTMzMTAxODQuSVFfQ0RTX01JRC4xMS8wNy8yNgEAAABgRD4AAgAAAAcxMS4yMjc5AE1LuJQX5N4IBkS6oBfk3ggjQ0lRLklRVDQ2MjE0ODc5LklRX0NEU19NSUQuMTEvMDcvMjYBAAAA9Ro3AAIAAAAHNTAuNTQ2MgBNS7iUF+TeCDH0uqAX5N4II0NJUS5JUVQ0NjQ3MDg3Ny5JUV9DRFNfTUlELjExLzA3LzI2AQAAAEI3BwACAAAABzU1Ljk3NDkATUu4lBfk3ggx9LqgF+TeCCRDSVEuSVFUMzEzMzEwODU0LklRX0NEU19NSUQuMTEvMDcvMjYBAAAAr1QNAAIAAAAENjEuNQC7wFeUF+TeCLvvu6AX5N4II0NJUS5JUVQ0NjIxNDk1NC5JUV9DRFNfTUlE</t>
  </si>
  <si>
    <t>LjA5LzA3LzI2AQAAADo9OQECAAAABDE0LjIATUu4lBfk3gjimr2gF+TeCCNDSVEuSVFUNDYyMDg2MzQuSVFfQ0RTX01JRC4wOS8wNy8yNgEAAAADH8IAAgAAAAcyMi41MjM2AE1LuJQX5N4I92K+oBfk3ggjQ0lRLklRVDQ2MjI1MDgzLklRX0NEU19NSUQuMDkvMDcvMjYBAAAAVkQGAAIAAAAHMzcuMDQzMgBNS7iUF+TeCPdivqAX5N4II0NJUS5JUVQ0NjE5NzEzOC5JUV9DRFNfTUlELjE2LzA3LzI2AQAAAO6UOAECAAAACDEyMy42NDQzAE1LuJQX5N4Ict20oBfk3ggjQ0lRLklRVDUxMDIzNDgwLklRX0NEU19NSUQuMTYvMDcvMjYBAAAAwkXxAQIAAAAGNC43OTI3AE1LuJQX5N4Ict20oBfk3ggjQ0lRLklRVDQ2MjA0OTU3LklRX0NEU19NSUQuMTYvMDcvMjYBAAAAIRUGAAIAAAAGNTUuMDEyAE1LuJQX5N4Ict20oBfk3ggjQ0lRLklRVDYyMjcwMTA2LklRX0NEU19NSUQuMTYvMDcvMjYBAAAArXeDAAIAAAAHNzUuMjEzNQC7wFeUF+TeCPN2tqAX5N4II0NJUS5JUVQ3OTY0MDAyNC5JUV9DRFNfTUlELjA4LzA3LzI2AQAAADWPmwECAAAABjcuODEyNQBNS7iUF+TeCDPzxKAX5N4IJENJUS5JUVQzMTMzMDU4NzkuSVFfQ0RTX01JRC4wOC8wNy8yNgEAAACE1twBAwAAAAAATUu4lBfk3ggz88SgF+TeCCNDSVEuSVFUNDYyMDA0MTIuSVFfQ0RTX01JRC4wOC8wNy8yNgEAAABjQwYAAgAAAAc0Ny41NDg2AE1LuJQX</t>
  </si>
  <si>
    <t>5N4IX6nFoBfk3ggjQ0lRLklRVDQ2MjAzMzMyLklRX0NEU19NSUQuMTcvMDcvMjUBAAAAXx43AAIAAAAHMTYuMzQ1NABNS7iUF+TeCP89w6AX5N4II0NJUS5JUVQ0NjIxNTExMS5JUV9DRFNfTUlELjE3LzA3LzI1AQAAAKBLsgECAAAABzQ0LjQxMjgATUu4lBfk3gj/PcOgF+TeCCNDSVEuSVFUNDYyMjYxMzIuSVFfQ0RTX01JRC4xNy8wNy8yNQEAAADdWQAAAgAAAAc0Ni42NTYzAE1LuJQX5N4IzCrEoBfk3ggkQ0lRLklRVDMxMzMxMzUyNC5JUV9DRFNfTUlELjE3LzA3LzI1AQAAAO9VDQACAAAABzUyLjEyNTUAu8BXlBfk3gjMKsSgF+TeCCNDSVEuSVFUNzk2Mzk5MTMuSVFfQ0RTX01JRC4xNS8wNy8yNgEAAAAgYxwCAgAAAAY4LjA4MzMATUu4lBfk3ggV77agF+TeCCNDSVEuSVFUNDYyMDc4NzIuSVFfQ0RTX01JRC4xNS8wNy8yNgEAAABYDQoAAgAAAAc0MC42NTUzAE1LuJQX5N4IQyS3oBfk3ggjQ0lRLklRVDQ2MjAwMzE3LklRX0NEU19NSUQuMTUvMDcvMjYBAAAA/lQNAAIAAAAHNjQuMDc0OQC7wFeUF+TeCEMkt6AX5N4IJENJUS5JUVQ2NDQ3MDE3OTcuSVFfQ0RTX01JRC4wNi8wNy8yNgEAAABTP30BAgAAAAcxMC4wNzU0AE1LuJQX5N4IDG/GoBfk3ggjQ0lRLklRVDQ2MjE2OTg2LklRX0NEU19NSUQuMDYvMDcvMjYBAAAAzkQ4AQMAAAAAAE1LuJQX5N4IDG/GoBfk3ggkQ0lRLklRVDI1NDk1NTIzMy5J</t>
  </si>
  <si>
    <t>UV9DRFNfTUlELjA2LzA3LzI2AQAAADlWCgACAAAABzQyLjQ0MzUATUu4lBfk3ghyOMegF+TeCCNDSVEuSVFUNDYxOTYyMjUuSVFfQ0RTX01JRC4wNC8wNy8yNgEAAAC+VaMBAgAAAAYxNy4zNzUATUu4lBfk3ghTwcigF+TeCCNDSVEuSVFUNTEwMjMyNjAuSVFfQ0RTX01JRC4wNC8wNy8yNgEAAACxEX8BAgAAAAcxMy40NTgxAE1LuJQX5N4IsYbJoBfk3ggjQ0lRLklRVDQ2MjI0NzQwLklRX0NEU19NSUQuMDQvMDcvMjYBAAAA03IIAAIAAAAHMzMuNjc2NwBNS7iUF+TeCLGGyaAX5N4IJENJUS5JUVQzMTMzMTczNDQuSVFfQ0RTX01JRC4wNC8wNy8yNgEAAADxrAEAAgAAAAc1OS42MzU0ALvAV5QX5N4ICj3KoBfk3ggjQ0lRLklRVDQ2MjAwMjc2LklRX0NEU19NSUQuMTcvMDQvMjYBAAAAlnd8AQIAAAAHMjguODc3NwBNS7iUF+TeCJYLyKAX5N4II0NJUS5JUVQ0NjE5NTQ5MS5JUV9DRFNfTUlELjE3LzA0LzI2AQAAAGlKAAACAAAABzU4LjYzODYATUu4lBfk3giWC8igF+TeCCNDSVEuSVFUNzk2MzQ5MDEuSVFfQ0RTX01JRC4xNy8wNC8yNgEAAACcBhAAAgAAAAc0Ni42ODY2ALvAV5QX5N4IU8HIoBfk3ggjQ0lRLklRVDQ2MjA3NTcxLklRX0NEU19NSUQuMTQvMDcvMjYBAAAAbe81AAIAAAAHMjkuODQ1NgBNS7iUF+TeCD3tt6AX5N4II0NJUS5JUVQ0NjIxMzQ3Mi5JUV9DRFNfTUlELjE0LzA3LzI2AQAAALla</t>
  </si>
  <si>
    <t>OAACAAAABzE0Ljk1MzUATUu4lBfk3gg97begF+TeCCRDSVEuSVFUMjYzMjEzMTMyLklRX0NEU19NSUQuMTQvMDcvMjYBAAAA4ZoIAAIAAAAHNTUuNTcxNQBNS7iUF+TeCD3tt6AX5N4II0NJUS5JUVQ0NjIyNTAwNi5JUV9DRFNfTUlELjEzLzA3LzI2AQAAAPhVDQACAAAABzQxLjcwODIATUu4lBfk3gj+J7SgF+TeCCNDSVEuSVFUNDYyMjAzMjkuSVFfQ0RTX01JRC4xMy8wNy8yNgEAAADbWwAAAgAAAAQ1Ni41ALvAV5QX5N4Ict20oBfk3ggjQ0lRLklRVDQ2MjYyMzc4LklRX0NEU19NSUQuMTIvMDcvMjYBAAAAQNKJAQIAAAAHMTcuODMzMwBNS7iUF+TeCEyAuaAX5N4II0NJUS5JUVQ0NjE5NzY5NC5JUV9DRFNfTUlELjEyLzA3LzI2AQAAAAf6BQACAAAABzUxLjY1NjMATUu4lBfk3ghMgLmgF+TeCCNDSVEuSVFUNjIyNzAxMDcuSVFfQ0RTX01JRC4xMi8wNy8yNgEAAAAVWQAAAgAAAAc0MS41MjI2AE1LuJQX5N4IBkS6oBfk3ggjQ0lRLklRVDQ2MjA3MzA4LklRX0NEU19NSUQuMTAvMDcvMjYBAAAAOYl6AQIAAAAHMTQuMzMzMwBNS7iUF+TeCLvvu6AX5N4II0NJUS5JUVQ0NjIxMDAzMi5JUV9DRFNfTUlELjEwLzA3LzI2AQAAAI9VowECAAAABzM2LjU1NzIATUu4lBfk3ghIkrygF+TeCCNDSVEuSVFUNDYyMjUzNzQuSVFfQ0RTX01JRC4xMC8wNy8yNgEAAAC11gUAAgAAAAczOC4wMzQ5AE1LuJQX5N4ISJK8</t>
  </si>
  <si>
    <t>oBfk3ggjQ0lRLklRVDQ5NzUxMTk2LklRX0NEU19NSUQuMDcvMDcvMjYBAAAAzZm9AAIAAAAHNDEuODIxNABNS7iUF+TeCPdivqAX5N4II0NJUS5JUVQ2MDM4OTUxNi5JUV9DRFNfTUlELjA3LzA3LzI2AQAAAKXwwwECAAAABjcuMjM5OQBNS7iUF+TeCBmKv6AX5N4IJENJUS5JUVQzMjM2ODAxMzAuSVFfQ0RTX01JRC4wNy8wNy8yNgEAAABx4QIAAgAAAAQ1My4xAE1LuJQX5N4IGYq/oBfk3ggjQ0lRLklRVDQ2MjAwMzE3LklRX0NEU19NSUQuMTcvMDQvMjYBAAAA/lQNAAIAAAAHNzEuMDQwOQC7wFeUF+TeCFPByKAX5N4II0NJUS5JUVQ0NjIxNjk4Ni5JUV9DRFNfTUlELjE0LzA3LzI2AQAAAM5EOAEDAAAAAABNS7iUF+TeCD3tt6AX5N4IJENJUS5JUVQyNTQ5NTUyMzMuSVFfQ0RTX01JRC4xNC8wNy8yNgEAAAA5VgoAAgAAAAY0My40OTcATUu4lBfk3gg97begF+TeCCNDSVEuSVFUNDYxOTU0OTEuSVFfQ0RTX01JRC4xMi8wNy8yNgEAAABpSgAAAgAAAAc1NC4yOTk2AE1LuJQX5N4ITIC5oBfk3ggjQ0lRLklRVDQ2MTk3Njk0LklRX0NEU19NSUQuMDUvMDcvMjYBAAAAB/oFAAIAAAAHNTEuNzU0MwBNS7iUF+TeCGUTwaAX5N4II0NJUS5JUVQ2MjI3MDEwNy5JUV9DRFNfTUlELjA1LzA3LzI2AQAAABVZAAACAAAABzQxLjA1MTIATUu4lBfk3ggu2MGgF+TeCCNDSVEuSVFUNDYyMDczMDguSVFfQ0RTX01JRC4w</t>
  </si>
  <si>
    <t>My8wNy8yNgEAAAA5iXoBAgAAAAYxNC4xMjUATUu4lBfk3ggu2MGgF+TeCCNDSVEuSVFUNDYyMjUzNzQuSVFfQ0RTX01JRC4wMy8wNy8yNgEAAAC11gUAAgAAAAQzOC4xAE1LuJQX5N4IxJ/CoBfk3ggjQ0lRLklRVDQ2MjA3ODcyLklRX0NEU19NSUQuMTIvMDcvMjYBAAAAWA0KAAIAAAAHNDAuNDMwMwBNS7iUF+TeCEyAuaAX5N4II0NJUS5JUVQ0NjIxNjk4Ni5JUV9DRFNfTUlELjEwLzA3LzI2AQAAAM5EOAEDAAAAAABNS7iUF+TeCEiSvKAX5N4II0NJUS5JUVQ0NjIwNzU3MS5JUV9DRFNfTUlELjAzLzA3LzI2AQAAAG3vNQACAAAABDI4LjUATUu4lBfk3ggu2MGgF+TeCCNDSVEuSVFUNjAzODgwNTcuSVFfQ0RTX01JRC4wNy8wNy8yNgEAAADfyX0BAwAAAAAATUu4lBfk3ggZir+gF+TeCCNDSVEuSVFUNDYxOTk4NDEuSVFfQ0RTX01JRC4wNy8wNy8yNgEAAADrMAYAAwAAAAAATUu4lBfk3ggZir+gF+TeCCNDSVEuSVFUNDY0NzA4NzcuSVFfQ0RTX01JRC4wNS8wNy8yNgEAAABCNwcAAgAAAAc1NS4wODM5AE1LuJQX5N4IZRPBoBfk3ggjQ0lRLklRVDQ2MTk3MTM4LklRX0NEU19NSUQuMDkvMDcvMjYBAAAA7pQ4AQIAAAAIMTI0Ljg3NjMATUu4lBfk3gjimr2gF+TeCCNDSVEuSVFUNjAzODk1MTYuSVFfQ0RTX01JRC4xMi8wNy8yNgEAAACl8MMBAgAAAAY3LjI0MzMATUu4lBfk3ghMgLmgF+TeCCNDSVEuSVFU</t>
  </si>
  <si>
    <t>NDYyMTA1NjAuSVFfQ0RTX01JRC4xMS8wNy8yNgEAAAD2GjcAAgAAAAc4NC42NTQ3AE1LuJQX5N4IBkS6oBfk3ggjQ0lRLklRVDQ2MjE5OTIyLklRX0NEU19NSUQuMTEvMDcvMjYBAAAA1kc5AQIAAAAGNi43Mjc2AE1LuJQX5N4IMfS6oBfk3ggjQ0lRLklRVDQ2MjIzNjQ2LklRX0NEU19NSUQuMTEvMDcvMjYBAAAAG3gEAAIAAAAHNDkuNDMxMQBNS7iUF+TeCDH0uqAX5N4IJENJUS5JUVQzMTMzMTQ5NzYuSVFfQ0RTX01JRC4xMS8wNy8yNgEAAABtSgAAAgAAAAQ1Ni41ALvAV5QX5N4Iu++7oBfk3ggjQ0lRLklRVDQ2MjE4NTE2LklRX0NEU19NSUQuMDkvMDcvMjYBAAAAplWjAQIAAAAHMzYuOTY3MgBNS7iUF+TeCOKavaAX5N4II0NJUS5JUVQ0NjIyMDgwMy5JUV9DRFNfTUlELjA5LzA3LzI2AQAAANbJNgACAAAABzQxLjYxNjgATUu4lBfk3gj3Yr6gF+TeCCNDSVEuSVFUNDYyMDAzNjQuSVFfQ0RTX01JRC4wOS8wNy8yNgEAAABXhggAAgAAAAUyNC42NgBNS7iUF+TeCPdivqAX5N4IJENJUS5JUVQzMTMzMTAxODQuSVFfQ0RTX01JRC4xNi8wNy8yNgEAAABgRD4AAgAAAAcxMS4xMzIxAE1LuJQX5N4Ict20oBfk3ggjQ0lRLklRVDQ2MjE0ODc5LklRX0NEU19NSUQuMTYvMDcvMjYBAAAA9Ro3AAIAAAAHNTAuNjYyMgBNS7iUF+TeCHLdtKAX5N4II0NJUS5JUVQ0NjQ3MDg3Ny5JUV9DRFNfTUlELjE2LzA3LzI2</t>
  </si>
  <si>
    <t>AQAAAEI3BwACAAAABzU3LjQ1NjEATUu4lBfk3ghy3bSgF+TeCCRDSVEuSVFUMzEzMzEwODU0LklRX0NEU19NSUQuMTYvMDcvMjYBAAAAr1QNAAIAAAAHNjEuMTY2NwC7wFeUF+TeCPN2tqAX5N4II0NJUS5JUVQ0NjIxNDk1NC5JUV9DRFNfTUlELjA4LzA3LzI2AQAAADo9OQECAAAABzE0LjMxMjUATUu4lBfk3ggz88SgF+TeCCNDSVEuSVFUNDYyMDg2MzQuSVFfQ0RTX01JRC4wOC8wNy8yNgEAAAADH8IAAgAAAAcyMi40Njg4AE1LuJQX5N4IM/PEoBfk3ggjQ0lRLklRVDQ2MjI1MDgzLklRX0NEU19NSUQuMDgvMDcvMjYBAAAAVkQGAAIAAAAEMzcuMgBNS7iUF+TeCF+pxaAX5N4II0NJUS5JUVQ0NjIwMzcxNC5JUV9DRFNfTUlELjE3LzA3LzI1AQAAAF8FNQACAAAABzMzLjU1NzcATUu4lBfk3gj/PcOgF+TeCCNDSVEuSVFUNzk2Mzk5NTMuSVFfQ0RTX01JRC4xNy8wNy8yNQEAAAA0m1YBAgAAAAczNC41MTI4AE1LuJQX5N4I/z3DoBfk3ggkQ0lRLklRVDUyODkzNjgxMi5JUV9DRFNfTUlELjE3LzA3LzI1AQAAAGxbBgACAAAABzQ3LjgxODIATUu4lBfk3gjMKsSgF+TeCCNDSVEuSVFUNDYxOTcxMzguSVFfQ0RTX01JRC4xNS8wNy8yNgEAAADulDgBAgAAAAgxMjIuNjY3OABNS7iUF+TeCPN2tqAX5N4II0NJUS5JUVQ1MTAyMzQ4MC5JUV9DRFNfTUlELjE1LzA3LzI2AQAAAMJF8QECAAAABjQuNTA4MgBNS7iU</t>
  </si>
  <si>
    <t>F+TeCBXvtqAX5N4II0NJUS5JUVQ0NjIwNDk1Ny5JUV9DRFNfTUlELjE1LzA3LzI2AQAAACEVBgACAAAABzU0LjY4NzQATUu4lBfk3ghDJLegF+TeCCNDSVEuSVFUNjIyNzAxMDYuSVFfQ0RTX01JRC4xNS8wNy8yNgEAAACtd4MAAgAAAAc3NS4yMTA3ALvAV5QX5N4IQyS3oBfk3ggjQ0lRLklRVDc5NjQwMDI0LklRX0NEU19NSUQuMDYvMDcvMjYBAAAANY+bAQIAAAAGNy44MTI1AE1LuJQX5N4IDG/GoBfk3ggkQ0lRLklRVDMxMzMxNzM0NC5JUV9DRFNfTUlELjEzLzA3LzI2AQAAAPGsAQACAAAABzYwLjUwMjMAu8BXlBfk3ghy3bSgF+TeCCNDSVEuSVFUNzk2MzQ5MDEuSVFfQ0RTX01JRC4xMi8wNy8yNgEAAACcBhAAAgAAAAc0MS4yOTMxAE1LuJQX5N4IBkS6oBfk3ggjQ0lRLklRVDQ2MjI1MDA2LklRX0NEU19NSUQuMDcvMDcvMjYBAAAA+FUNAAIAAAAGNDAuOTE3AE1LuJQX5N4IGYq/oBfk3ggjQ0lRLklRVDQ2MjIwMzI5LklRX0NEU19NSUQuMDcvMDcvMjYBAAAA21sAAAIAAAACNTYAu8BXlBfk3ggZir+gF+TeCCNDSVEuSVFUNDYyMDAzMTcuSVFfQ0RTX01JRC4xMi8wNy8yNgEAAAD+VA0AAgAAAAc2NS40NjE3ALvAV5QX5N4IBkS6oBfk3ggkQ0lRLklRVDI2MzIxMzEzMi5JUV9DRFNfTUlELjAzLzA3LzI2AQAAAOGaCAACAAAABzU1LjI3MTYATUu4lBfk3gjEn8KgF+TeCCNDSVEuSVFUNDYxOTcxMzgu</t>
  </si>
  <si>
    <t>SVFfQ0RTX01JRC4xMi8wNy8yNgEAAADulDgBAgAAAAgxMjMuNjYwNwBNS7iUF+TeCD3tt6AX5N4IJENJUS5JUVQzMTMzMTM1MjQuSVFfQ0RTX01JRC4wNy8wNy8yNgEAAADvVQ0AAgAAAAc1OS45NzkyALvAV5QX5N4IGYq/oBfk3ggjQ0lRLklRVDYwMzg5NTE2LklRX0NEU19NSUQuMTcvMDQvMjYBAAAApfDDAQIAAAAGNy44OTgzAE1LuJQX5N4IlgvIoBfk3ggjQ0lRLklRVDQ2MjE4Njc0LklRX0NEU19NSUQuMTQvMDcvMjYBAAAAV8o2AAIAAAAIMTI0Ljg1OTIATUu4lBfk3gg97begF+TeCCRDSVEuSVFUMzEzMzEzNTI0LklRX0NEU19NSUQuMTYvMDcvMjYBAAAA71UNAAIAAAAHNjAuMDY4MgC7wFeUF+TeCPN2tqAX5N4II0NJUS5JUVQ0NjIyNTM3NC5JUV9DRFNfTUlELjEzLzA3LzI2AQAAALXWBQACAAAABTM4LjQ2AE1LuJQX5N4Ict20oBfk3ggjQ0lRLklRVDQ5NzUxMTk2LklRX0NEU19NSUQuMTEvMDcvMjYBAAAAzZm9AAIAAAAHNDEuODMzMwBNS7iUF+TeCAZEuqAX5N4II0NJUS5JUVQ2MDM4OTUxNi5JUV9DRFNfTUlELjExLzA3LzI2AQAAAKXwwwECAAAABjcuMjQzMwBNS7iUF+TeCDH0uqAX5N4IJENJUS5JUVQzMjM2ODAxMzAuSVFfQ0RTX01JRC4xMS8wNy8yNgEAAABx4QIAAgAAAAc1Mi41MzM1AE1LuJQX5N4IMfS6oBfk3ggkQ0lRLklRVDMxMzMxNTQyOS5JUV9DRFNfTUlELjExLzA3LzI2AQAA</t>
  </si>
  <si>
    <t>ADnnBQACAAAABzYyLjEwMDkAu8BXlBfk3gi777ugF+TeCCNDSVEuSVFUNDYyMDY3NzkuSVFfQ0RTX01JRC4wOS8wNy8yNgEAAAD87zYAAgAAAAcxNi4xNjY3AE1LuJQX5N4I4pq9oBfk3ggjQ0lRLklRVDQ2MjE4Njc0LklRX0NEU19NSUQuMDkvMDcvMjYBAAAAV8o2AAIAAAAIMTI0LjIwNjQATUu4lBfk3gj3Yr6gF+TeCCNDSVEuSVFUNDYyMjU3MTUuSVFfQ0RTX01JRC4wOS8wNy8yNgEAAAC35QQAAgAAAAc0MC4zOTExAE1LuJQX5N4I92K+oBfk3ggjQ0lRLklRVDQ2MjEwNTYwLklRX0NEU19NSUQuMTYvMDcvMjYBAAAA9ho3AAIAAAAHODYuMTAwMwBNS7iUF+TeCHLdtKAX5N4II0NJUS5JUVQ0NjIxOTkyMi5JUV9DRFNfTUlELjE2LzA3LzI2AQAAANZHOQECAAAABjYuNDgwOQBNS7iUF+TeCHLdtKAX5N4II0NJUS5JUVQ0NjIyMzY0Ni5JUV9DRFNfTUlELjE2LzA3LzI2AQAAABt4BAACAAAABzQ5LjY5NzYATUu4lBfk3ghy3bSgF+TeCCRDSVEuSVFUMzEzMzE0OTc2LklRX0NEU19NSUQuMTYvMDcvMjYBAAAAbUoAAAIAAAAGNTcuODM3ALvAV5QX5N4I83a2oBfk3ggjQ0lRLklRVDQ2MjE4NTE2LklRX0NEU19NSUQuMDgvMDcvMjYBAAAAplWjAQIAAAAHMzcuMTg3MwBNS7iUF+TeCDPzxKAX5N4II0NJUS5JUVQ0NjIyMDgwMy5JUV9DRFNfTUlELjA4LzA3LzI2AQAAANbJNgACAAAABzQxLjcyNTcATUu4lBfk</t>
  </si>
  <si>
    <t>3ggYpcWgF+TeCCNDSVEuSVFUNDYyMDAzNjQuSVFfQ0RTX01JRC4wOC8wNy8yNgEAAABXhggAAgAAAAIyNQBNS7iUF+TeCF+pxaAX5N4II0NJUS5JUVQ0NjIwNDMwMC5JUV9DRFNfTUlELjE3LzA3LzI1AQAAAPYlfQACAAAAAzguNQBNS7iUF+TeCP89w6AX5N4II0NJUS5JUVQ2MDM4ODA1Ny5JUV9DRFNfTUlELjE3LzA3LzI1AQAAAN/JfQECAAAABzQ2LjQ4NjUATUu4lBfk3gj/PcOgF+TeCCNDSVEuSVFUNDYxOTk4NDEuSVFfQ0RTX01JRC4xNy8wNy8yNQEAAADrMAYAAwAAAAAATUu4lBfk3gjMKsSgF+TeCCRDSVEuSVFUMzEzMzEwMTg0LklRX0NEU19NSUQuMTUvMDcvMjYBAAAAYEQ+AAIAAAAHMTEuMTQ0NABNS7iUF+TeCOagtqAX5N4II0NJUS5JUVQ0NjIxNDg3OS5JUV9DRFNfTUlELjE1LzA3LzI2AQAAAPUaNwACAAAABzUwLjU1MzUATUu4lBfk3ggV77agF+TeCCNDSVEuSVFUNDY0NzA4NzcuSVFfQ0RTX01JRC4xNS8wNy8yNgEAAABCNwcAAgAAAAc1Ny4yMzY4AE1LuJQX5N4IQyS3oBfk3ggkQ0lRLklRVDMxMzMxMDg1NC5JUV9DRFNfTUlELjE1LzA3LzI2AQAAAK9UDQACAAAABDYxLjUAu8BXlBfk3ghDJLegF+TeCCNDSVEuSVFUNDYyMTQ5NTQuSVFfQ0RTX01JRC4wNi8wNy8yNgEAAAA6PTkBAgAAAAcxNC4xNjY3AE1LuJQX5N4IDG/GoBfk3ggjQ0lRLklRVDQ2MjA4NjM0LklRX0NEU19NSUQuMDYv</t>
  </si>
  <si>
    <t>MDcvMjYBAAAAAx/CAAIAAAAHMjIuMDYzMQBNS7iUF+TeCAxvxqAX5N4II0NJUS5JUVQ0NjIyNTA4My5JUV9DRFNfTUlELjA2LzA3LzI2AQAAAFZEBgACAAAABzM2Ljk1MzIATUu4lBfk3ghyOMegF+TeCCNDSVEuSVFUNDYyMDM3MTQuSVFfQ0RTX01JRC4wNC8wNy8yNgEAAABfBTUAAgAAAAcyOS4wNjI5AE1LuJQX5N4IU8HIoBfk3ggjQ0lRLklRVDc5NjM5OTUzLklRX0NEU19NSUQuMDQvMDcvMjYBAAAANJtWAQIAAAAHMjQuODgzNQBNS7iUF+TeCLGGyaAX5N4IJENJUS5JUVQ1Mjg5MzY4MTIuSVFfQ0RTX01JRC4wNC8wNy8yNgEAAABsWwYAAgAAAAc0Ni42MzYzAE1LuJQX5N4IsYbJoBfk3ggjQ0lRLklRVDQ2MTk3MTM4LklRX0NEU19NSUQuMTcvMDQvMjYBAAAA7pQ4AQIAAAAHMTI0LjU0OQBNS7iUF+TeCHI4x6AX5N4II0NJUS5JUVQ1MTAyMzQ4MC5JUV9DRFNfTUlELjE3LzA0LzI2AQAAAMJF8QECAAAABjUuNTc4NABNS7iUF+TeCJYLyKAX5N4II0NJUS5JUVQ0NjIwNDk1Ny5JUV9DRFNfTUlELjE3LzA0LzI2AQAAACEVBgACAAAABzU3LjE4MzgATUu4lBfk3giWC8igF+TeCCNDSVEuSVFUNjIyNzAxMDYuSVFfQ0RTX01JRC4xNy8wNC8yNgEAAACtd4MAAgAAAAY3NC4xMDkAu8BXlBfk3ghTwcigF+TeCCNDSVEuSVFUNzk2NDAwMjQuSVFfQ0RTX01JRC4xNC8wNy8yNgEAAAA1j5sBAgAAAAU3Ljg3NQBN</t>
  </si>
  <si>
    <t>S7iUF+TeCD3tt6AX5N4IJENJUS5JUVQzMTMzMDU4NzkuSVFfQ0RTX01JRC4xNC8wNy8yNgEAAACE1twBAwAAAAAATUu4lBfk3gg97begF+TeCCNDSVEuSVFUNDYyMDA0MTIuSVFfQ0RTX01JRC4xNC8wNy8yNgEAAABjQwYAAgAAAAc0Ni4yMTA1AE1LuJQX5N4IPe23oBfk3ggjQ0lRLklRVDYyMjcwMTA2LklRX0NEU19NSUQuMTIvMDcvMjYBAAAArXeDAAIAAAAHNzQuODg3OQC7wFeUF+TeCAZEuqAX5N4II0NJUS5JUVQ0NjIwMDQxMi5JUV9DRFNfTUlELjEwLzA3LzI2AQAAAGNDBgACAAAABzQ1Ljg1NjEATUu4lBfk3ghIkrygF+TeCCNDSVEuSVFUNzk2Mzk5MTMuSVFfQ0RTX01JRC4wNS8wNy8yNgEAAAAgYxwCAgAAAAU4LjEyNQBNS7iUF+TeCGUTwaAX5N4IJENJUS5JUVQzMTMzMTU0MjkuSVFfQ0RTX01JRC4xNy8wNC8yNgEAAAA55wUAAgAAAAc2MS4zMzYzALvAV5QX5N4IU8HIoBfk3ggjQ0lRLklRVDQ2MjIzNjQ2LklRX0NEU19NSUQuMTIvMDcvMjYBAAAAG3gEAAIAAAAHNDkuNDMxMQBNS7iUF+TeCEyAuaAX5N4IJENJUS5JUVQ1Mjg5MzY4MTIuSVFfQ0RTX01JRC4xMS8wNy8yNgEAAABsWwYAAgAAAAY0Ni43MjcATUu4lBfk3ggx9LqgF+TeCCNDSVEuSVFUNDYxOTQ5OTUuSVFfQ0RTX01JRC4xMS8wNy8yNgEAAABuEDEAAgAAAAYxMC45OTkATUu4lBfk3ggGRLqgF+TeCCNDSVEuSVFUNDYyMjIyOTIu</t>
  </si>
  <si>
    <t>SVFfQ0RTX01JRC4xMS8wNy8yNgEAAADRkZsBAgAAAAg3NTkuODU1NwBNS7iUF+TeCDH0uqAX5N4II0NJUS5JUVQ0NjIyNTAwNi5JUV9DRFNfTUlELjExLzA3LzI2AQAAAPhVDQACAAAABzQxLjQxOTEATUu4lBfk3ggx9LqgF+TeCCNDSVEuSVFUNDYyMjAzMjkuSVFfQ0RTX01JRC4xMS8wNy8yNgEAAADbWwAAAgAAAAQ1Ni41ALvAV5QX5N4Iu++7oBfk3ggjQ0lRLklRVDQ2MjYyMzc4LklRX0NEU19NSUQuMDkvMDcvMjYBAAAAQNKJAQIAAAAHMTcuOTM3NQBNS7iUF+TeCOKavaAX5N4II0NJUS5JUVQ0NjE5NzY5NC5JUV9DRFNfTUlELjA5LzA3LzI2AQAAAAf6BQACAAAABTUxLjczAE1LuJQX5N4I92K+oBfk3ggjQ0lRLklRVDYyMjcwMTA3LklRX0NEU19NSUQuMDkvMDcvMjYBAAAAFVkAAAIAAAAHNDAuMzA4OABNS7iUF+TeCPdivqAX5N4II0NJUS5JUVQ0OTc1MTE5Ni5JUV9DRFNfTUlELjE2LzA3LzI2AQAAAM2ZvQACAAAABzQxLjkzODMATUu4lBfk3ghy3bSgF+TeCCNDSVEuSVFUNjAzODk1MTYuSVFfQ0RTX01JRC4xNi8wNy8yNgEAAACl8MMBAgAAAAY3LjI0ODgATUu4lBfk3ghy3bSgF+TeCCRDSVEuSVFUMzIzNjgwMTMwLklRX0NEU19NSUQuMTYvMDcvMjYBAAAAceECAAIAAAAHNTEuNDM2NABNS7iUF+TeCHLdtKAX5N4IJENJUS5JUVQzMTMzMTU0MjkuSVFfQ0RTX01JRC4xNi8wNy8yNgEAAAA55wUA</t>
  </si>
  <si>
    <t>AgAAAAc2Mi4xNjY2ALvAV5QX5N4I83a2oBfk3ggjQ0lRLklRVDQ2MjA2Nzc5LklRX0NEU19NSUQuMDgvMDcvMjYBAAAA/O82AAIAAAAHMTYuMDIwNABNS7iUF+TeCDPzxKAX5N4II0NJUS5JUVQ0NjIxODY3NC5JUV9DRFNfTUlELjA4LzA3LzI2AQAAAFfKNgACAAAACDEyNS4yNTM3AE1LuJQX5N4IX6nFoBfk3ggjQ0lRLklRVDQ2MjI1NzE1LklRX0NEU19NSUQuMDgvMDcvMjYBAAAAt+UEAAIAAAAHNDAuNTE2MQBNS7iUF+TeCF+pxaAX5N4II0NJUS5JUVQ0NjIwNDg4NC5JUV9DRFNfTUlELjE3LzA3LzI1AQAAAIFRwAECAAAABzQ2LjMzNzQATUu4lBfk3gj/PcOgF+TeCCNDSVEuSVFUNDYyMDc3ODkuSVFfQ0RTX01JRC4xNy8wNy8yNQEAAAAqWKMBAgAAAAcyMC45NjI2AE1LuJQX5N4I/z3DoBfk3ggkQ0lRLklRVDI4NjA5NjEzMS5JUV9DRFNfTUlELjE3LzA3LzI1AQAAADvxBAACAAAABzYzLjA5MzgATUu4lBfk3gjMKsSgF+TeCCNDSVEuSVFUNDYyMTA1NjAuSVFfQ0RTX01JRC4xNS8wNy8yNgEAAAD2GjcAAgAAAAc4NS40MzY4AE1LuJQX5N4I5qC2oBfk3ggjQ0lRLklRVDQ2MjE5OTIyLklRX0NEU19NSUQuMTUvMDcvMjYBAAAA1kc5AQIAAAAGNi44MzIyAE1LuJQX5N4IFe+2oBfk3ggjQ0lRLklRVDQ2MjIzNjQ2LklRX0NEU19NSUQuMTUvMDcvMjYBAAAAG3gEAAIAAAAHNDkuNzg4MQBNS7iUF+TeCEMk</t>
  </si>
  <si>
    <t>t6AX5N4IJENJUS5JUVQzMTMzMTQ5NzYuSVFfQ0RTX01JRC4xNS8wNy8yNgEAAABtSgAAAgAAAAQ1Ni41ALvAV5QX5N4IQyS3oBfk3ggjQ0lRLklRVDQ2MjE4NTE2LklRX0NEU19NSUQuMDYvMDcvMjYBAAAAplWjAQIAAAAHMzguNjY3NgBNS7iUF+TeCAxvxqAX5N4II0NJUS5JUVQ0NjIyMDgwMy5JUV9DRFNfTUlELjA2LzA3LzI2AQAAANbJNgACAAAABzQwLjIwODMATUu4lBfk3ggMb8agF+TeCCNDSVEuSVFUNDYyMDAzNjQuSVFfQ0RTX01JRC4wNi8wNy8yNgEAAABXhggAAgAAAAcyNC43MTY3AE1LuJQX5N4IcjjHoBfk3ggjQ0lRLklRVDQ2MjA0MzAwLklRX0NEU19NSUQuMDQvMDcvMjYBAAAA9iV9AAIAAAAGNy4wMTY1AE1LuJQX5N4IU8HIoBfk3ggjQ0lRLklRVDYwMzg4MDU3LklRX0NEU19NSUQuMDQvMDcvMjYBAAAA38l9AQMAAAAAAE1LuJQX5N4IsYbJoBfk3ggjQ0lRLklRVDQ2MTk5ODQxLklRX0NEU19NSUQuMDQvMDcvMjYBAAAA6zAGAAMAAAAAAE1LuJQX5N4IsYbJoBfk3ggkQ0lRLklRVDMxMzMxMDE4NC5JUV9DRFNfTUlELjE3LzA0LzI2AQAAAGBEPgACAAAABzEyLjc0MTEATUu4lBfk3ghyOMegF+TeCCNDSVEuSVFUNDYyMTQ4NzkuSVFfQ0RTX01JRC4xNy8wNC8yNgEAAAD1GjcAAgAAAAc1Mi4yODc4AE1LuJQX5N4IlgvIoBfk3ggjQ0lRLklRVDQ2NDcwODc3LklRX0NEU19NSUQuMTcvMDQv</t>
  </si>
  <si>
    <t>MjYBAAAAQjcHAAIAAAAHNTguMTk1NwBNS7iUF+TeCJYLyKAX5N4IJENJUS5JUVQzMTMzMTA4NTQuSVFfQ0RTX01JRC4xNy8wNC8yNgEAAACvVA0AAgAAAAc1Mi44NDUxALvAV5QX5N4IU8HIoBfk3ggjQ0lRLklRVDQ2MjE0OTU0LklRX0NEU19NSUQuMTQvMDcvMjYBAAAAOj05AQIAAAAFMTQuMzUATUu4lBfk3gg97begF+TeCCNDSVEuSVFUNDYyMDg2MzQuSVFfQ0RTX01JRC4xNC8wNy8yNgEAAAADH8IAAgAAAAcyMi41MjU4AE1LuJQX5N4IPe23oBfk3ggjQ0lRLklRVDQ2MjI1MDgzLklRX0NEU19NSUQuMTQvMDcvMjYBAAAAVkQGAAIAAAAEMzcuNQBNS7iUF+TeCD3tt6AX5N4IJENJUS5JUVQzMTMzMTQ5NzYuSVFfQ0RTX01JRC4xMi8wNy8yNgEAAABtSgAAAgAAAAQ1Ni41ALvAV5QX5N4IBkS6oBfk3ggjQ0lRLklRVDUxMDIzNDgwLklRX0NEU19NSUQuMDkvMDcvMjYBAAAAwkXxAQIAAAAGNC41MDA4AE1LuJQX5N4I+hK+oBfk3ggjQ0lRLklRVDQ2MjE2OTg2LklRX0NEU19NSUQuMTcvMDcvMjUBAAAAzkQ4AQMAAAAAAE1LuJQX5N4IzCrEoBfk3ggjQ0lRLklRVDQ2MTk2MjI1LklRX0NEU19NSUQuMTEvMDcvMjYBAAAAvlWjAQIAAAAHMTcuNDI3NABNS7iUF+TeCAZEuqAX5N4II0NJUS5JUVQ1MTAyMzI2MC5JUV9DRFNfTUlELjExLzA3LzI2AQAAALERfwECAAAABzEzLjk0NTkATUu4lBfk3ggx9LqgF+Te</t>
  </si>
  <si>
    <t>CCNDSVEuSVFUNDYyMjQ3NDAuSVFfQ0RTX01JRC4xMS8wNy8yNgEAAADTcggAAgAAAAczMy42MDY2AE1LuJQX5N4IMfS6oBfk3ggkQ0lRLklRVDMxMzMxNzM0NC5JUV9DRFNfTUlELjExLzA3LzI2AQAAAPGsAQACAAAABzYwLjUwMDMAu8BXlBfk3gi777ugF+TeCCNDSVEuSVFUNDYyMDAyNzYuSVFfQ0RTX01JRC4wOS8wNy8yNgEAAACWd3wBAgAAAAYyNy43ODUATUu4lBfk3gjimr2gF+TeCCNDSVEuSVFUNDYxOTU0OTEuSVFfQ0RTX01JRC4wOS8wNy8yNgEAAABpSgAAAgAAAAc1NC41MDMzAE1LuJQX5N4I92K+oBfk3ggjQ0lRLklRVDc5NjM0OTAxLklRX0NEU19NSUQuMDkvMDcvMjYBAAAAnAYQAAIAAAAHNDEuNDY2NQBNS7iUF+TeCPdivqAX5N4II0NJUS5JUVQ0NjE5NDk5NS5JUV9DRFNfTUlELjE2LzA3LzI2AQAAAG4QMQACAAAABDEwLjkATUu4lBfk3ghy3bSgF+TeCCNDSVEuSVFUNDYyMjIyOTIuSVFfQ0RTX01JRC4xNi8wNy8yNgEAAADRkZsBAgAAAAg3NjAuNTcyMwBNS7iUF+TeCHLdtKAX5N4II0NJUS5JUVQ0NjIyNTAwNi5JUV9DRFNfTUlELjE2LzA3LzI2AQAAAPhVDQACAAAABzQyLjU0MzgATUu4lBfk3ghy3bSgF+TeCCNDSVEuSVFUNDYyMjAzMjkuSVFfQ0RTX01JRC4xNi8wNy8yNgEAAADbWwAAAgAAAAI1NgC7wFeUF+TeCPN2tqAX5N4II0NJUS5JUVQ0NjI2MjM3OC5JUV9DRFNfTUlELjA4</t>
  </si>
  <si>
    <t>LzA3LzI2AQAAAEDSiQECAAAABDE4LjEATUu4lBfk3ggz88SgF+TeCCNDSVEuSVFUNDYxOTc2OTQuSVFfQ0RTX01JRC4wOC8wNy8yNgEAAAAH+gUAAgAAAAc1MS43Njc5AE1LuJQX5N4IX6nFoBfk3ggjQ0lRLklRVDYyMjcwMTA3LklRX0NEU19NSUQuMDgvMDcvMjYBAAAAFVkAAAIAAAAHNDMuMTM5MQBNS7iUF+TeCF+pxaAX5N4II0NJUS5JUVQ0NjIwNzMwOC5JUV9DRFNfTUlELjE3LzA3LzI1AQAAADmJegECAAAABzE4LjY2NjcATUu4lBfk3gj/PcOgF+TeCCNDSVEuSVFUNDYyMTAwMzIuSVFfQ0RTX01JRC4xNy8wNy8yNQEAAACPVaMBAgAAAAc0Mi42ODk5AE1LuJQX5N4IzCrEoBfk3ggjQ0lRLklRVDQ2MjI1Mzc0LklRX0NEU19NSUQuMTcvMDcvMjUBAAAAtdYFAAIAAAAHNDguOTkwMQBNS7iUF+TeCMwqxKAX5N4II0NJUS5JUVQ0OTc1MTE5Ni5JUV9DRFNfTUlELjE1LzA3LzI2AQAAAM2ZvQACAAAABTQxLjc1AE1LuJQX5N4I5qC2oBfk3ggjQ0lRLklRVDYwMzg5NTE2LklRX0NEU19NSUQuMTUvMDcvMjYBAAAApfDDAQIAAAAGNy4yNTAzAE1LuJQX5N4IFe+2oBfk3ggkQ0lRLklRVDMyMzY4MDEzMC5JUV9DRFNfTUlELjE1LzA3LzI2AQAAAHHhAgACAAAABjUxLjg2MgBNS7iUF+TeCEMkt6AX5N4IJENJUS5JUVQzMTMzMTU0MjkuSVFfQ0RTX01JRC4xNS8wNy8yNgEAAAA55wUAAgAAAAc2Mi41MDY2ALvA</t>
  </si>
  <si>
    <t>V5QX5N4IQyS3oBfk3ggjQ0lRLklRVDQ2MjA2Nzc5LklRX0NEU19NSUQuMDYvMDcvMjYBAAAA/O82AAIAAAACMTYATUu4lBfk3ggMb8agF+TeCCNDSVEuSVFUNDYyMTg2NzQuSVFfQ0RTX01JRC4wNi8wNy8yNgEAAABXyjYAAgAAAAgxMjMuMTA4MQBNS7iUF+TeCAxvxqAX5N4II0NJUS5JUVQ0NjIyNTcxNS5JUV9DRFNfTUlELjA2LzA3LzI2AQAAALflBAACAAAABzM5LjQyNDQATUu4lBfk3ghyOMegF+TeCCNDSVEuSVFUNDYyMDQ4ODQuSVFfQ0RTX01JRC4wNC8wNy8yNgEAAACBUcABAgAAAAYyOC45OTYATUu4lBfk3ghTwcigF+TeCCNDSVEuSVFUNDYyMDc3ODkuSVFfQ0RTX01JRC4wNC8wNy8yNgEAAAAqWKMBAgAAAAcyNi42MzgzAE1LuJQX5N4IsYbJoBfk3ggkQ0lRLklRVDI4NjA5NjEzMS5JUV9DRFNfTUlELjA0LzA3LzI2AQAAADvxBAACAAAABzYxLjU0MjkATUu4lBfk3gixhsmgF+TeCCNDSVEuSVFUNDYyMTA1NjAuSVFfQ0RTX01JRC4xNy8wNC8yNgEAAAD2GjcAAgAAAAc4Ny4yNDU5AE1LuJQX5N4IcjjHoBfk3ggjQ0lRLklRVDQ2MjE5OTIyLklRX0NEU19NSUQuMTcvMDQvMjYBAAAA1kc5AQIAAAAGNy44MzMzAE1LuJQX5N4IlgvIoBfk3ggjQ0lRLklRVDQ2MjIzNjQ2LklRX0NEU19NSUQuMTcvMDQvMjYBAAAAG3gEAAIAAAAGNTIuNzIyAE1LuJQX5N4IlgvIoBfk3ggkQ0lRLklRVDMxMzMxNDk3</t>
  </si>
  <si>
    <t>Ni5JUV9DRFNfTUlELjE3LzA0LzI2AQAAAG1KAAACAAAABzU4LjM5NTUAu8BXlBfk3ghTwcigF+TeCCNDSVEuSVFUNDYyMTg1MTYuSVFfQ0RTX01JRC4xNC8wNy8yNgEAAACmVaMBAgAAAAczNS44ODE2AE1LuJQX5N4IPe23oBfk3ggjQ0lRLklRVDQ2MjIwODAzLklRX0NEU19NSUQuMTQvMDcvMjYBAAAA1sk2AAIAAAAHNDEuOTk4NwBNS7iUF+TeCD3tt6AX5N4II0NJUS5JUVQ0NjIwMDM2NC5JUV9DRFNfTUlELjE0LzA3LzI2AQAAAFeGCAACAAAABTI1LjAyAE1LuJQX5N4IPe23oBfk3ggjQ0lRLklRVDQ2MTk5ODQxLklRX0NEU19NSUQuMTMvMDcvMjYBAAAA6zAGAAMAAAAAAE1LuJQX5N4I/ie0oBfk3ggkQ0lRLklRVDMxMzMxMDE4NC5JUV9DRFNfTUlELjEyLzA3LzI2AQAAAGBEPgACAAAABzExLjIyNzkATUu4lBfk3gg97begF+TeCCNDSVEuSVFUNDYyMTQ4NzkuSVFfQ0RTX01JRC4xMi8wNy8yNgEAAAD1GjcAAgAAAAc1MC41NDYyAE1LuJQX5N4ITIC5oBfk3ggjQ0lRLklRVDQ2NDcwODc3LklRX0NEU19NSUQuMTIvMDcvMjYBAAAAQjcHAAIAAAAHNTUuOTc0OQBNS7iUF+TeCEyAuaAX5N4IJENJUS5JUVQzMTMzMTA4NTQuSVFfQ0RTX01JRC4xMi8wNy8yNgEAAACvVA0AAgAAAAQ2MS41ALvAV5QX5N4IBkS6oBfk3ggjQ0lRLklRVDQ2MjE0OTU0LklRX0NEU19NSUQuMTAvMDcvMjYBAAAAOj05AQIAAAAG</t>
  </si>
  <si>
    <t>MTQuMTI1AE1LuJQX5N4IFI68oBfk3ggjQ0lRLklRVDQ2MjA4NjM0LklRX0NEU19NSUQuMTAvMDcvMjYBAAAAAx/CAAIAAAAHMjIuMTA2NgBNS7iUF+TeCEiSvKAX5N4II0NJUS5JUVQ0NjIyNTA4My5JUV9DRFNfTUlELjEwLzA3LzI2AQAAAFZEBgACAAAABzM2Ljg3MDUATUu4lBfk3ghIkrygF+TeCCNDSVEuSVFUNDYyMDM3MTQuSVFfQ0RTX01JRC4wNy8wNy8yNgEAAABfBTUAAgAAAAYyOS42NDYATUu4lBfk3gj3Yr6gF+TeCCNDSVEuSVFUNzk2Mzk5NTMuSVFfQ0RTX01JRC4wNy8wNy8yNgEAAAA0m1YBAgAAAAcyNC45MDg5AE1LuJQX5N4IGYq/oBfk3ggkQ0lRLklRVDUyODkzNjgxMi5JUV9DRFNfTUlELjA3LzA3LzI2AQAAAGxbBgACAAAABjQ2LjEyNQBNS7iUF+TeCBmKv6AX5N4II0NJUS5JUVQ0NjE5NzEzOC5JUV9DRFNfTUlELjA1LzA3LzI2AQAAAO6UOAECAAAACDEyNS4zNjY3AE1LuJQX5N4IGYq/oBfk3ggjQ0lRLklRVDUxMDIzNDgwLklRX0NEU19NSUQuMDUvMDcvMjYBAAAAwkXxAQIAAAAGNC43MDU4AE1LuJQX5N4IZRPBoBfk3ggjQ0lRLklRVDQ2MjA0OTU3LklRX0NEU19NSUQuMDUvMDcvMjYBAAAAIRUGAAIAAAAHNTMuNDIzNwBNS7iUF+TeCGUTwaAX5N4II0NJUS5JUVQ2MjI3MDEwNi5JUV9DRFNfTUlELjA1LzA3LzI2AQAAAK13gwACAAAABzc1Ljg3ODIAu8BXlBfk3ggu2MGgF+TeCCND</t>
  </si>
  <si>
    <t>SVEuSVFUNzk2NDAwMjQuSVFfQ0RTX01JRC4wMy8wNy8yNgEAAAA1j5sBAgAAAAY3LjgxMjUATUu4lBfk3ggu2MGgF+TeCCRDSVEuSVFUMzEzMzA1ODc5LklRX0NEU19NSUQuMDMvMDcvMjYBAAAAhNbcAQMAAAAAAE1LuJQX5N4IxJ/CoBfk3ggjQ0lRLklRVDQ2MjAwNDEyLklRX0NEU19NSUQuMDMvMDcvMjYBAAAAY0MGAAIAAAAHNDcuNzcyNQBNS7iUF+TeCP89w6AX5N4II0NJUS5JUVQ0NjIwMzMzMi5JUV9DRFNfTUlELjExLzA3LzI2AQAAAF8eNwACAAAABTExLjI1AE1LuJQX5N4IBkS6oBfk3ggjQ0lRLklRVDQ2MjE1MTExLklRX0NEU19NSUQuMTEvMDcvMjYBAAAAoEuyAQIAAAAHMzYuNjk1NABNS7iUF+TeCDH0uqAX5N4II0NJUS5JUVQ0NjIyNjEzMi5JUV9DRFNfTUlELjExLzA3LzI2AQAAAN1ZAAACAAAABzQxLjY3NzYATUu4lBfk3ggx9LqgF+TeCCRDSVEuSVFUMzEzMzEzNTI0LklRX0NEU19NSUQuMTEvMDcvMjYBAAAA71UNAAIAAAAHNjAuNTE0OQC7wFeUF+TeCLvvu6AX5N4II0NJUS5JUVQ3OTYzOTkxMy5JUV9DRFNfTUlELjA5LzA3LzI2AQAAACBjHAICAAAABjcuOTM3NQBNS7iUF+TeCPoSvqAX5N4II0NJUS5JUVQ0NjIwNzg3Mi5JUV9DRFNfTUlELjA5LzA3LzI2AQAAAFgNCgACAAAABzM5Ljc5OTIATUu4lBfk3gj3Yr6gF+TeCCNDSVEuSVFUNDYyMDAzMTcuSVFfQ0RTX01JRC4wOS8wNy8y</t>
  </si>
  <si>
    <t>NgEAAAD+VA0AAgAAAAc2NC45NTY0ALvAV5QX5N4I92K+oBfk3ggjQ0lRLklRVDQ2MTk2MjI1LklRX0NEU19NSUQuMTYvMDcvMjYBAAAAvlWjAQIAAAAGMTcuMzc1AE1LuJQX5N4Ict20oBfk3ggjQ0lRLklRVDUxMDIzMjYwLklRX0NEU19NSUQuMTYvMDcvMjYBAAAAsRF/AQIAAAACMTQATUu4lBfk3ghy3bSgF+TeCCNDSVEuSVFUNDYyMjQ3NDAuSVFfQ0RTX01JRC4xNi8wNy8yNgEAAADTcggAAgAAAAUzNS4wNgBNS7iUF+TeCHLdtKAX5N4IJENJUS5JUVQzMTMzMTczNDQuSVFfQ0RTX01JRC4xNi8wNy8yNgEAAADxrAEAAgAAAAc2MC4yMTk1ALvAV5QX5N4I83a2oBfk3ggjQ0lRLklRVDQ2MjAwMjc2LklRX0NEU19NSUQuMDgvMDcvMjYBAAAAlnd8AQIAAAAHMjYuMjY1NgBNS7iUF+TeCDPzxKAX5N4II0NJUS5JUVQ0NjE5NTQ5MS5JUV9DRFNfTUlELjA4LzA3LzI2AQAAAGlKAAACAAAABzU0LjE0NzIATUu4lBfk3ghfqcWgF+TeCCNDSVEuSVFUNzk2MzQ5MDEuSVFfQ0RTX01JRC4wOC8wNy8yNgEAAACcBhAAAgAAAAc0MS44ODgyAE1LuJQX5N4IX6nFoBfk3ggjQ0lRLklRVDQ2MjA3NTcxLklRX0NEU19NSUQuMTcvMDcvMjUBAAAAbe81AAIAAAAGNDMuNjM1AE1LuJQX5N4I/z3DoBfk3ggjQ0lRLklRVDQ2MjEzNDcyLklRX0NEU19NSUQuMTcvMDcvMjUBAAAAuVo4AAIAAAAHMTQuMDM1NQBNS7iUF+TeCMwq</t>
  </si>
  <si>
    <t>xKAX5N4IJENJUS5JUVQyNjMyMTMxMzIuSVFfQ0RTX01JRC4xNy8wNy8yNQEAAADhmggAAgAAAAY1Ni42NDEATUu4lBfk3gjMKsSgF+TeCCNDSVEuSVFUNDYxOTQ5OTUuSVFfQ0RTX01JRC4xNS8wNy8yNgEAAABuEDEAAgAAAAIxMQBNS7iUF+TeCOagtqAX5N4II0NJUS5JUVQ0NjIyMjI5Mi5JUV9DRFNfTUlELjE1LzA3LzI2AQAAANGRmwECAAAACDc2MS4xMTI2AE1LuJQX5N4IDxa3oBfk3ggjQ0lRLklRVDQ2MjI1MDA2LklRX0NEU19NSUQuMTUvMDcvMjYBAAAA+FUNAAIAAAAHNDIuMTE0MwBNS7iUF+TeCEMkt6AX5N4II0NJUS5JUVQ0NjIyMDMyOS5JUV9DRFNfTUlELjE1LzA3LzI2AQAAANtbAAACAAAABDU2LjUAu8BXlBfk3ghDJLegF+TeCCNDSVEuSVFUNDYyNjIzNzguSVFfQ0RTX01JRC4wNi8wNy8yNgEAAABA0okBAgAAAAYxNy44NzUATUu4lBfk3ggMb8agF+TeCCNDSVEuSVFUNDYxOTc2OTQuSVFfQ0RTX01JRC4wNi8wNy8yNgEAAAAH+gUAAgAAAAY1MS4wOTcATUu4lBfk3ggMb8agF+TeCCNDSVEuSVFUNjIyNzAxMDcuSVFfQ0RTX01JRC4wNi8wNy8yNgEAAAAVWQAAAgAAAAc0MS41MTE2AE1LuJQX5N4IcjjHoBfk3ggjQ0lRLklRVDQ2MjE5OTIyLklRX0NEU19NSUQuMTIvMDcvMjYBAAAA1kc5AQIAAAAGNi43Mjc2AE1LuJQX5N4ITIC5oBfk3ggjQ0lRLklRVDQ2MjA4NjM0LklRX0NEU19NSUQu</t>
  </si>
  <si>
    <t>MDMvMDcvMjYBAAAAAx/CAAIAAAAHMjIuMzAwNABNS7iUF+TeCMSfwqAX5N4II0NJUS5JUVQ2MjI3MDEwNi5JUV9DRFNfTUlELjA5LzA3LzI2AQAAAK13gwACAAAABzc1Ljg4NzkAu8BXlBfk3gj3Yr6gF+TeCCNDSVEuSVFUNzk2Mzk5MTMuSVFfQ0RTX01JRC4wOC8wNy8yNgEAAAAgYxwCAgAAAAY3LjgzMzMATUu4lBfk3ggz88SgF+TeCCRDSVEuSVFUNjQ0NzAxNzk3LklRX0NEU19NSUQuMTcvMDcvMjUBAAAAUz99AQIAAAAHMTYuMzU4NgBNS7iUF+TeCP89w6AX5N4II0NJUS5JUVQ0NjE5NTQ5MS5JUV9DRFNfTUlELjA2LzA3LzI2AQAAAGlKAAACAAAABzU0LjQ2NzMATUu4lBfk3ggMb8agF+TeCCNDSVEuSVFUNDYyMjIyOTIuSVFfQ0RTX01JRC4xNy8wNC8yNgEAAADRkZsBAgAAAAg2NzUuODIwNwBNS7iUF+TeCJYLyKAX5N4IJENJUS5JUVQzMTMzMTU0MjkuSVFfQ0RTX01JRC4xMi8wNy8yNgEAAAA55wUAAgAAAAc2Mi4xMDA5ALvAV5QX5N4IBkS6oBfk3ggjQ0lRLklRVDQ2MjI1NzE1LklRX0NEU19NSUQuMTAvMDcvMjYBAAAAt+UEAAIAAAAHNDAuMjc2NgBNS7iUF+TeCEiSvKAX5N4IJENJUS5JUVQzMTMzMTQ5NzYuSVFfQ0RTX01JRC4wNS8wNy8yNgEAAABtSgAAAgAAAAI1NgC7wFeUF+TeCC7YwaAX5N4II0NJUS5JUVQ0NjIwNDMwMC5JUV9DRFNfTUlELjExLzA3LzI2AQAAAPYlfQACAAAABTcuMDAy</t>
  </si>
  <si>
    <t>AE1LuJQX5N4IMfS6oBfk3ggjQ0lRLklRVDYwMzg4MDU3LklRX0NEU19NSUQuMTEvMDcvMjYBAAAA38l9AQMAAAAAAE1LuJQX5N4IMfS6oBfk3ggjQ0lRLklRVDQ2MTk5ODQxLklRX0NEU19NSUQuMTEvMDcvMjYBAAAA6zAGAAMAAAAAAE1LuJQX5N4IMfS6oBfk3ggkQ0lRLklRVDMxMzMxMDE4NC5JUV9DRFNfTUlELjA5LzA3LzI2AQAAAGBEPgACAAAABzExLjI2NzUATUu4lBfk3gjimr2gF+TeCCNDSVEuSVFUNDYyMTQ4NzkuSVFfQ0RTX01JRC4wOS8wNy8yNgEAAAD1GjcAAgAAAAc1MC41NDM3AE1LuJQX5N4I+hK+oBfk3ggjQ0lRLklRVDQ2NDcwODc3LklRX0NEU19NSUQuMDkvMDcvMjYBAAAAQjcHAAIAAAAHNTUuMDI0MwBNS7iUF+TeCPdivqAX5N4IJENJUS5JUVQzMTMzMTA4NTQuSVFfQ0RTX01JRC4wOS8wNy8yNgEAAACvVA0AAgAAAAQ2MS41ALvAV5QX5N4I92K+oBfk3ggjQ0lRLklRVDQ2MjAzNzE0LklRX0NEU19NSUQuMTYvMDcvMjYBAAAAXwU1AAIAAAAFMzEuMjUATUu4lBfk3ghy3bSgF+TeCCNDSVEuSVFUNzk2Mzk5NTMuSVFfQ0RTX01JRC4xNi8wNy8yNgEAAAA0m1YBAgAAAAcyNC45OTA2AE1LuJQX5N4Ict20oBfk3ggkQ0lRLklRVDUyODkzNjgxMi5JUV9DRFNfTUlELjE2LzA3LzI2AQAAAGxbBgACAAAABzQ3LjI4MjcATUu4lBfk3ghy3bSgF+TeCCNDSVEuSVFUNDYxOTcxMzguSVFfQ0RT</t>
  </si>
  <si>
    <t>X01JRC4wOC8wNy8yNgEAAADulDgBAgAAAAgxMjYuODM5NQBNS7iUF+TeCMwqxKAX5N4II0NJUS5JUVQ1MTAyMzQ4MC5JUV9DRFNfTUlELjA4LzA3LzI2AQAAAMJF8QECAAAABjQuNzIyNABNS7iUF+TeCDPzxKAX5N4II0NJUS5JUVQ0NjIwNDk1Ny5JUV9DRFNfTUlELjA4LzA3LzI2AQAAACEVBgACAAAABjUzLjMyMwBNS7iUF+TeCF+pxaAX5N4II0NJUS5JUVQ2MjI3MDEwNi5JUV9DRFNfTUlELjA4LzA3LzI2AQAAAK13gwACAAAABzc1Ljg3ODQAu8BXlBfk3ghfqcWgF+TeCCNDSVEuSVFUNzk2NDAwMjQuSVFfQ0RTX01JRC4xNy8wNy8yNQEAAAA1j5sBAgAAAAYxMC42MjUATUu4lBfk3gj/PcOgF+TeCCRDSVEuSVFUMzEzMzA1ODc5LklRX0NEU19NSUQuMTcvMDcvMjUBAAAAhNbcAQIAAAAGMi4xNzc4AE1LuJQX5N4IzCrEoBfk3ggjQ0lRLklRVDQ2MjAwNDEyLklRX0NEU19NSUQuMTcvMDcvMjUBAAAAY0MGAAIAAAAENTMuOQBNS7iUF+TeCMwqxKAX5N4II0NJUS5JUVQ0NjIwMzMzMi5JUV9DRFNfTUlELjE1LzA3LzI2AQAAAF8eNwACAAAABzExLjE2NjcATUu4lBfk3gjmoLagF+TeCCNDSVEuSVFUNDYyMTUxMTEuSVFfQ0RTX01JRC4xNS8wNy8yNgEAAACgS7IBAgAAAAczNy4wMzg2AE1LuJQX5N4IDxa3oBfk3ggjQ0lRLklRVDQ2MjI2MTMyLklRX0NEU19NSUQuMTUvMDcvMjYBAAAA3VkAAAIAAAAHNDIu</t>
  </si>
  <si>
    <t>MTI4OQBNS7iUF+TeCEMkt6AX5N4IJENJUS5JUVQzMTMzMTM1MjQuSVFfQ0RTX01JRC4xNS8wNy8yNgEAAADvVQ0AAgAAAAc2MC41NTQxALvAV5QX5N4IPe23oBfk3ggjQ0lRLklRVDc5NjM5OTEzLklRX0NEU19NSUQuMDYvMDcvMjYBAAAAIGMcAgIAAAAFOC4xMjUATUu4lBfk3ggMb8agF+TeCCNDSVEuSVFUNDYyMDc4NzIuSVFfQ0RTX01JRC4wNi8wNy8yNgEAAABYDQoAAgAAAAYzOS44NDYATUu4lBfk3ggMb8agF+TeCCNDSVEuSVFUNDYyMDAzMTcuSVFfQ0RTX01JRC4wNi8wNy8yNgEAAAD+VA0AAgAAAAY2NS4xNjkAu8BXlBfk3ghyOMegF+TeCCRDSVEuSVFUNjQ0NzAxNzk3LklRX0NEU19NSUQuMDQvMDcvMjYBAAAAUz99AQIAAAAHMTAuMDE4OABNS7iUF+TeCFPByKAX5N4II0NJUS5JUVQ0NjIxNjk4Ni5JUV9DRFNfTUlELjA0LzA3LzI2AQAAAM5EOAEDAAAAAABNS7iUF+TeCLGGyaAX5N4IJENJUS5JUVQyNTQ5NTUyMzMuSVFfQ0RTX01JRC4wNC8wNy8yNgEAAAA5VgoAAgAAAAc0Mi45MTQ2AE1LuJQX5N4IsYbJoBfk3ggjQ0lRLklRVDQ2MTk2MjI1LklRX0NEU19NSUQuMTcvMDQvMjYBAAAAvlWjAQIAAAAFMTguMDUATUu4lBfk3ghyOMegF+TeCCNDSVEuSVFUNTEwMjMyNjAuSVFfQ0RTX01JRC4xNy8wNC8yNgEAAACxEX8BAgAAAAcxNC4wMDU4AE1LuJQX5N4IlgvIoBfk3ggjQ0lRLklRVDQ2MjI0</t>
  </si>
  <si>
    <t>NzQwLklRX0NEU19NSUQuMTcvMDQvMjYBAAAA03IIAAIAAAAHMzQuMzMzMwBNS7iUF+TeCJYLyKAX5N4IJENJUS5JUVQzMTMzMTczNDQuSVFfQ0RTX01JRC4xNy8wNC8yNgEAAADxrAEAAgAAAAc1My42MTE4ALvAV5QX5N4IU8HIoBfk3ggjQ0lRLklRVDQ2MjAwMjc2LklRX0NEU19NSUQuMTQvMDcvMjYBAAAAlnd8AQIAAAAHMjkuNDM5MgBNS7iUF+TeCD3tt6AX5N4II0NJUS5JUVQ0NjE5NTQ5MS5JUV9DRFNfTUlELjE0LzA3LzI2AQAAAGlKAAACAAAABjU0LjYwNABNS7iUF+TeCD3tt6AX5N4II0NJUS5JUVQ3OTYzNDkwMS5JUV9DRFNfTUlELjE0LzA3LzI2AQAAAJwGEAACAAAABjQxLjE0NQBNS7iUF+TeCD3tt6AX5N4IJENJUS5JUVQyNjMyMTMxMzIuSVFfQ0RTX01JRC4xMy8wNy8yNgEAAADhmggAAgAAAAc1NS4zMjk3AE1LuJQX5N4Ict20oBfk3ggjQ0lRLklRVDQ2MTk0OTk1LklRX0NEU19NSUQuMTIvMDcvMjYBAAAAbhAxAAIAAAAGMTAuOTk5AE1LuJQX5N4IPe23oBfk3ggjQ0lRLklRVDQ2MjIyMjkyLklRX0NEU19NSUQuMTIvMDcvMjYBAAAA0ZGbAQIAAAAINzU5Ljg1NTcATUu4lBfk3ghMgLmgF+TeCCNDSVEuSVFUNDYyMjUwMDYuSVFfQ0RTX01JRC4xMi8wNy8yNgEAAAD4VQ0AAgAAAAc0MS40MTkxAE1LuJQX5N4IBkS6oBfk3ggjQ0lRLklRVDQ2MjIwMzI5LklRX0NEU19NSUQuMTIvMDcvMjYB</t>
  </si>
  <si>
    <t>AAAA21sAAAIAAAAENTYuNQC7wFeUF+TeCAZEuqAX5N4II0NJUS5JUVQ0NjI2MjM3OC5JUV9DRFNfTUlELjEwLzA3LzI2AQAAAEDSiQECAAAABzE3LjgzMzMATUu4lBfk3ghIkrygF+TeCCNDSVEuSVFUNDYxOTc2OTQuSVFfQ0RTX01JRC4xMC8wNy8yNgEAAAAH+gUAAgAAAAc1MS42NTYzAE1LuJQX5N4ISJK8oBfk3ggjQ0lRLklRVDYyMjcwMTA3LklRX0NEU19NSUQuMTAvMDcvMjYBAAAAFVkAAAIAAAAHNDEuNTIyNgBNS7iUF+TeCEiSvKAX5N4II0NJUS5JUVQ0NjIwNzMwOC5JUV9DRFNfTUlELjA3LzA3LzI2AQAAADmJegECAAAABDE0LjUATUu4lBfk3gj3Yr6gF+TeCCNDSVEuSVFUNDYyMTAwMzIuSVFfQ0RTX01JRC4wNy8wNy8yNgEAAACPVaMBAgAAAAczNi40MTUxAE1LuJQX5N4IGYq/oBfk3ggjQ0lRLklRVDQ2MjI1Mzc0LklRX0NEU19NSUQuMDcvMDcvMjYBAAAAtdYFAAIAAAAHMzguMDAyMQBNS7iUF+TeCBmKv6AX5N4II0NJUS5JUVQ0OTc1MTE5Ni5JUV9DRFNfTUlELjA1LzA3LzI2AQAAAM2ZvQACAAAABzQyLjA3MTUATUu4lBfk3ggZir+gF+TeCCNDSVEuSVFUNjAzODk1MTYuSVFfQ0RTX01JRC4wNS8wNy8yNgEAAACl8MMBAgAAAAY3LjI0MTEATUu4lBfk3ghlE8GgF+TeCCRDSVEuSVFUMzIzNjgwMTMwLklRX0NEU19NSUQuMDUvMDcvMjYBAAAAceECAAIAAAAHNTEuNDk0OQBNS7iUF+TeCGUT</t>
  </si>
  <si>
    <t>waAX5N4IJENJUS5JUVQzMTMzMTU0MjkuSVFfQ0RTX01JRC4wNS8wNy8yNgEAAAA55wUAAgAAAAc2MS4xNzM0ALvAV5QX5N4ILtjBoBfk3ggjQ0lRLklRVDQ2MjA2Nzc5LklRX0NEU19NSUQuMDMvMDcvMjYBAAAA/O82AAIAAAAHMTUuODEyNQBNS7iUF+TeCC7YwaAX5N4II0NJUS5JUVQ0NjIxODY3NC5JUV9DRFNfTUlELjAzLzA3LzI2AQAAAFfKNgACAAAACDEyNS45NTkxAE1LuJQX5N4IxJ/CoBfk3ggjQ0lRLklRVDQ2MjI1NzE1LklRX0NEU19NSUQuMDMvMDcvMjYBAAAAt+UEAAIAAAAHMzkuNDM2MQBNS7iUF+TeCP89w6AX5N4II0NJUS5JUVQ0NjIwNDMwMC5JUV9DRFNfTUlELjE2LzA3LzI2AQAAAPYlfQACAAAABjcuMDA0MwBNS7iUF+TeCHLdtKAX5N4II0NJUS5JUVQ2MDM4ODA1Ny5JUV9DRFNfTUlELjE2LzA3LzI2AQAAAN/JfQEDAAAAAABNS7iUF+TeCHLdtKAX5N4II0NJUS5JUVQ0NjE5OTg0MS5JUV9DRFNfTUlELjE2LzA3LzI2AQAAAOswBgADAAAAAABNS7iUF+TeCE40tqAX5N4IJENJUS5JUVQzMTMzMTAxODQuSVFfQ0RTX01JRC4wOC8wNy8yNgEAAABgRD4AAgAAAAcxMS4yOTc5AE1LuJQX5N4IM/PEoBfk3ggjQ0lRLklRVDQ2MjE0ODc5LklRX0NEU19NSUQuMDgvMDcvMjYBAAAA9Ro3AAIAAAAGNTAuNTUzAE1LuJQX5N4IM/PEoBfk3ggjQ0lRLklRVDQ2NDcwODc3LklRX0NEU19NSUQuMDgv</t>
  </si>
  <si>
    <t>MDcvMjYBAAAAQjcHAAIAAAAHNTUuMDU0MgBNS7iUF+TeCF+pxaAX5N4IJENJUS5JUVQzMTMzMTA4NTQuSVFfQ0RTX01JRC4wOC8wNy8yNgEAAACvVA0AAgAAAAc2MS42NjY3ALvAV5QX5N4IX6nFoBfk3ggjQ0lRLklRVDQ2MjE0OTU0LklRX0NEU19NSUQuMTcvMDcvMjUBAAAAOj05AQIAAAAHMjMuMzMzMwBNS7iUF+TeCP89w6AX5N4II0NJUS5JUVQ0NjIwODYzNC5JUV9DRFNfTUlELjE3LzA3LzI1AQAAAAMfwgACAAAABzI0LjExMDgATUu4lBfk3gjMKsSgF+TeCCNDSVEuSVFUNDYyMjUwODMuSVFfQ0RTX01JRC4xNy8wNy8yNQEAAABWRAYAAgAAAAc0My41NzE0AE1LuJQX5N4IzCrEoBfk3ggjQ0lRLklRVDQ2MjAzNzE0LklRX0NEU19NSUQuMTUvMDcvMjYBAAAAXwU1AAIAAAAHMzEuMTYwOQBNS7iUF+TeCOagtqAX5N4II0NJUS5JUVQ3OTYzOTk1My5JUV9DRFNfTUlELjE1LzA3LzI2AQAAADSbVgECAAAABzI0Ljk1NDgATUu4lBfk3ghDJLegF+TeCCRDSVEuSVFUNTI4OTM2ODEyLklRX0NEU19NSUQuMTUvMDcvMjYBAAAAbFsGAAIAAAAHNDcuMjU0MQBNS7iUF+TeCEMkt6AX5N4II0NJUS5JUVQ0NjE5NzEzOC5JUV9DRFNfTUlELjA2LzA3LzI2AQAAAO6UOAECAAAABzEyNC44OTcATUu4lBfk3ghfqcWgF+TeCCNDSVEuSVFUNTEwMjM0ODAuSVFfQ0RTX01JRC4wNi8wNy8yNgEAAADCRfEBAgAAAAY0Ljcw</t>
  </si>
  <si>
    <t>ODIATUu4lBfk3ggMb8agF+TeCCNDSVEuSVFUNDYyMDQ5NTcuSVFfQ0RTX01JRC4wNi8wNy8yNgEAAAAhFQYAAgAAAAc1Mi45ODkzAE1LuJQX5N4IDG/GoBfk3ggjQ0lRLklRVDYyMjcwMTA2LklRX0NEU19NSUQuMDYvMDcvMjYBAAAArXeDAAIAAAAHNzUuODc4NgC7wFeUF+TeCHI4x6AX5N4II0NJUS5JUVQ3OTY0MDAyNC5JUV9DRFNfTUlELjA0LzA3LzI2AQAAADWPmwECAAAABjcuODEyNQBNS7iUF+TeCFPByKAX5N4II0NJUS5JUVQ0NjIxNTExMS5JUV9DRFNfTUlELjE3LzA0LzI2AQAAAKBLsgECAAAABTQzLjI3AE1LuJQX5N4IlgvIoBfk3ggjQ0lRLklRVDQ2MjI2MTMyLklRX0NEU19NSUQuMTcvMDQvMjYBAAAA3VkAAAIAAAAHNDMuMjc4OABNS7iUF+TeCJYLyKAX5N4IJENJUS5JUVQzMTMzMTM1MjQuSVFfQ0RTX01JRC4xNy8wNC8yNgEAAADvVQ0AAgAAAAc1MS4zMzA1ALvAV5QX5N4IU8HIoBfk3ggjQ0lRLklRVDc5NjM5OTEzLklRX0NEU19NSUQuMTQvMDcvMjYBAAAAIGMcAgIAAAABOABNS7iUF+TeCD3tt6AX5N4II0NJUS5JUVQ0NjIwNzg3Mi5JUV9DRFNfTUlELjE0LzA3LzI2AQAAAFgNCgACAAAABzQwLjU4NDIATUu4lBfk3gg97begF+TeCCRDSVEuSVFUMjU0OTU1MjMzLklRX0NEU19NSUQuMTMvMDcvMjYBAAAAOVYKAAIAAAAENDMuMQBNS7iUF+TeCHLdtKAX5N4II0NJUS5JUVQ0NjE5NjIy</t>
  </si>
  <si>
    <t>NS5JUV9DRFNfTUlELjEyLzA3LzI2AQAAAL5VowECAAAABzE3LjQyNzQATUu4lBfk3gg97begF+TeCCNDSVEuSVFUNDYyMjQ3NDAuSVFfQ0RTX01JRC4xMi8wNy8yNgEAAADTcggAAgAAAAczMy42MDY2AE1LuJQX5N4IBkS6oBfk3ggjQ0lRLklRVDQ2MjAwMjc2LklRX0NEU19NSUQuMTAvMDcvMjYBAAAAlnd8AQIAAAAHMjguMDI5MgBNS7iUF+TeCEiSvKAX5N4II0NJUS5JUVQ0NjE5NTQ5MS5JUV9DRFNfTUlELjEwLzA3LzI2AQAAAGlKAAACAAAABzU0LjI5OTYATUu4lBfk3ghIkrygF+TeCCNDSVEuSVFUNzk2MzQ5MDEuSVFfQ0RTX01JRC4xMC8wNy8yNgEAAACcBhAAAgAAAAc0MS4yOTMxAE1LuJQX5N4ISJK8oBfk3ggjQ0lRLklRVDQ2MjA3NTcxLklRX0NEU19NSUQuMDcvMDcvMjYBAAAAbe81AAIAAAAHMjguNjgxOQBNS7iUF+TeCPdivqAX5N4II0NJUS5JUVQ0NjIxMzQ3Mi5JUV9DRFNfTUlELjA3LzA3LzI2AQAAALlaOAACAAAABzE0Ljc0MzUATUu4lBfk3ggZir+gF+TeCCRDSVEuSVFUMjYzMjEzMTMyLklRX0NEU19NSUQuMDcvMDcvMjYBAAAA4ZoIAAIAAAAHNTQuNzUyMwBNS7iUF+TeCBmKv6AX5N4II0NJUS5JUVQ0NjE5NDk5NS5JUV9DRFNfTUlELjA1LzA3LzI2AQAAAG4QMQACAAAAAjExAE1LuJQX5N4IGYq/oBfk3ggjQ0lRLklRVDQ2MjIyMjkyLklRX0NEU19NSUQuMDUvMDcvMjYBAAAA0ZGb</t>
  </si>
  <si>
    <t>AQIAAAAINzU4LjgzMjYATUu4lBfk3ghlE8GgF+TeCCNDSVEuSVFUNDYyMjUwMDYuSVFfQ0RTX01JRC4wNS8wNy8yNgEAAAD4VQ0AAgAAAAc0MS4yMTUzAE1LuJQX5N4IZRPBoBfk3ggjQ0lRLklRVDQ2MjYyMzc4LklRX0NEU19NSUQuMDMvMDcvMjYBAAAAQNKJAQIAAAAGMTcuODc1AE1LuJQX5N4ILtjBoBfk3ggjQ0lRLklRVDQ2MTk3Njk0LklRX0NEU19NSUQuMDMvMDcvMjYBAAAAB/oFAAIAAAAHNTEuNzU0MwBNS7iUF+TeCMSfwqAX5N4II0NJUS5JUVQ2MjI3MDEwNy5JUV9DRFNfTUlELjAzLzA3LzI2AQAAABVZAAACAAAABzQxLjA1MTIATUu4lBfk3gj/PcOgF+TeCCNDSVEuSVFUNzk2MzQ5MDEuSVFfQ0RTX01JRC4wMy8wNy8yNgEAAACcBhAAAgAAAAc0My4yMzY5ALvAV5QX5N4I/z3DoBfk3ggjQ0lRLklRVDQ2MjA2Nzc5LklRX0NEU19NSUQuMTcvMDcvMjUBAAAA/O82AAIAAAAHMjguNDM5OQBNS7iUF+TeCP89w6AX5N4II0NJUS5JUVQ0NjIxMDU2MC5JUV9DRFNfTUlELjA2LzA3LzI2AQAAAPYaNwACAAAABzg0LjgwOTUATUu4lBfk3ghfqcWgF+TeCCNDSVEuSVFUNDYyMTk5MjIuSVFfQ0RTX01JRC4wNi8wNy8yNgEAAADWRzkBAgAAAAU2Ljg0OQBNS7iUF+TeCAxvxqAX5N4IJENJUS5JUVQzMTMzMTQ5NzYuSVFfQ0RTX01JRC4wNi8wNy8yNgEAAABtSgAAAgAAAAI1NgC7wFeUF+TeCHI4x6AX5N4I</t>
  </si>
  <si>
    <t>I0NJUS5JUVQ0NjIxODUxNi5JUV9DRFNfTUlELjA0LzA3LzI2AQAAAKZVowECAAAABzM3LjU1MTcATUu4lBfk3ghTwcigF+TeCCNDSVEuSVFUNDYyMjA4MDMuSVFfQ0RTX01JRC4wNC8wNy8yNgEAAADWyTYAAgAAAAI0MABNS7iUF+TeCLGGyaAX5N4II0NJUS5JUVQ2MDM4ODA1Ny5JUV9DRFNfTUlELjE3LzA0LzI2AQAAAN/JfQEDAAAAAABNS7iUF+TeCJYLyKAX5N4II0NJUS5JUVQ0NjE5OTg0MS5JUV9DRFNfTUlELjE3LzA0LzI2AQAAAOswBgADAAAAAABNS7iUF+TeCJYLyKAX5N4IJENJUS5JUVQzMTMzMTAxODQuSVFfQ0RTX01JRC4xNC8wNy8yNgEAAABgRD4AAgAAAAcxMS4yMTAxAE1LuJQX5N4IPe23oBfk3ggjQ0lRLklRVDQ2MjE0ODc5LklRX0NEU19NSUQuMTQvMDcvMjYBAAAA9Ro3AAIAAAAHNTAuNTM2NgBNS7iUF+TeCD3tt6AX5N4II0NJUS5JUVQ0NjQ3MDg3Ny5JUV9DRFNfTUlELjE0LzA3LzI2AQAAAEI3BwACAAAABzU2Ljc0MTEATUu4lBfk3gg97begF+TeCCRDSVEuSVFUMzEzMzEwODU0LklRX0NEU19NSUQuMTQvMDcvMjYBAAAAr1QNAAIAAAAENjEuNQC7wFeUF+TeCD3tt6AX5N4II0NJUS5JUVQ1MTAyMzQ4MC5JUV9DRFNfTUlELjEwLzA3LzI2AQAAAMJF8QECAAAABjQuNDk5NgBNS7iUF+TeCEiSvKAX5N4II0NJUS5JUVQ0NjIwMDMxNy5JUV9DRFNfTUlELjAzLzA3LzI2AQAAAP5UDQAC</t>
  </si>
  <si>
    <t>AAAABzY0LjgzNDcAu8BXlBfk3gj/PcOgF+TeCCNDSVEuSVFUNDYyMTQ5NTQuSVFfQ0RTX01JRC4wNy8wNy8yNgEAAAA6PTkBAgAAAAcxNC4yNjI1AE1LuJQX5N4I92K+oBfk3ggjQ0lRLklRVDQ2MjI1MDgzLklRX0NEU19NSUQuMDcvMDcvMjYBAAAAVkQGAAIAAAAEMzYuOQBNS7iUF+TeCBmKv6AX5N4II0NJUS5JUVQ0NjIwNDg4NC5JUV9DRFNfTUlELjExLzA3LzI2AQAAAIFRwAECAAAABzI5LjE4NzUATUu4lBfk3ggx9LqgF+TeCCNDSVEuSVFUNDYyMDc3ODkuSVFfQ0RTX01JRC4xMS8wNy8yNgEAAAAqWKMBAgAAAAcyNi41MTYzAE1LuJQX5N4IMfS6oBfk3ggkQ0lRLklRVDI4NjA5NjEzMS5JUV9DRFNfTUlELjExLzA3LzI2AQAAADvxBAACAAAABzYwLjE4OTQATUu4lBfk3ggx9LqgF+TeCCNDSVEuSVFUNDYyMTA1NjAuSVFfQ0RTX01JRC4wOS8wNy8yNgEAAAD2GjcAAgAAAAc4NS4xMTE1AE1LuJQX5N4I4pq9oBfk3ggjQ0lRLklRVDQ2MjE5OTIyLklRX0NEU19NSUQuMDkvMDcvMjYBAAAA1kc5AQIAAAAGNy4zMzMzAE1LuJQX5N4I+hK+oBfk3ggjQ0lRLklRVDQ2MjIzNjQ2LklRX0NEU19NSUQuMDkvMDcvMjYBAAAAG3gEAAIAAAAHNDguMjk5MgBNS7iUF+TeCPdivqAX5N4IJENJUS5JUVQzMTMzMTQ5NzYuSVFfQ0RTX01JRC4wOS8wNy8yNgEAAABtSgAAAgAAAAQ1Ni41ALvAV5QX5N4I92K+oBfk3ggk</t>
  </si>
  <si>
    <t>Q0lRLklRVDMxMzMwNTg3OS5JUV9DRFNfTUlELjA0LzA3LzI2AQAAAITW3AEDAAAAAABNS7iUF+TeCLGGyaAX5N4II0NJUS5JUVQ0NjIwMDQxMi5JUV9DRFNfTUlELjA0LzA3LzI2AQAAAGNDBgACAAAABzQ3Ljc3MjUATUu4lBfk3gixhsmgF+TeCCNDSVEuSVFUNDYyMDMzMzIuSVFfQ0RTX01JRC4xNy8wNC8yNgEAAABfHjcAAgAAAAcxMi42NjY3AE1LuJQX5N4IcjjHoBfk3ggjQ0lRLklRVDQ2MjAwMzE3LklRX0NEU19NSUQuMTQvMDcvMjYBAAAA/lQNAAIAAAAHNjQuMTMxMwC7wFeUF+TeCD3tt6AX5N4IJENJUS5JUVQ2NDQ3MDE3OTcuSVFfQ0RTX01JRC4xMy8wNy8yNgEAAABTP30BAgAAAAY5Ljk5NjgATUu4lBfk3ghrX7OgF+TeCCNDSVEuSVFUNDYyMTY5ODYuSVFfQ0RTX01JRC4xMy8wNy8yNgEAAADORDgBAwAAAAAATUu4lBfk3gj+J7SgF+TeCCNDSVEuSVFUNTEwMjMyNjAuSVFfQ0RTX01JRC4xMi8wNy8yNgEAAACxEX8BAgAAAAcxMy45NDU5AE1LuJQX5N4ITIC5oBfk3ggkQ0lRLklRVDMxMzMxNzM0NC5JUV9DRFNfTUlELjEyLzA3LzI2AQAAAPGsAQACAAAABzYwLjUwMDMAu8BXlBfk3ggGRLqgF+TeCCNDSVEuSVFUNDYyMjAzMjkuSVFfQ0RTX01JRC4wNS8wNy8yNgEAAADbWwAAAgAAAAI1NgC7wFeUF+TeCC7YwaAX5N4II0NJUS5JUVQ0NjIyMzY0Ni5JUV9DRFNfTUlELjA2LzA3LzI2AQAAABt4</t>
  </si>
  <si>
    <t>BAACAAAABzQ3LjgyMjQATUu4lBfk3ggMb8agF+TeCCNDSVEuSVFUNDYyMDQzMDAuSVFfQ0RTX01JRC4xNy8wNC8yNgEAAAD2JX0AAgAAAAY5LjExMzYATUu4lBfk3ghyOMegF+TeCCNDSVEuSVFUNDYyMDczMDguSVFfQ0RTX01JRC4xMS8wNy8yNgEAAAA5iXoBAgAAAAcxNC4zMzMzAE1LuJQX5N4IMfS6oBfk3ggjQ0lRLklRVDQ2MjEwMDMyLklRX0NEU19NSUQuMTEvMDcvMjYBAAAAj1WjAQIAAAAHMzYuNTU3MgBNS7iUF+TeCDH0uqAX5N4II0NJUS5JUVQ0NjIyNTM3NC5JUV9DRFNfTUlELjExLzA3LzI2AQAAALXWBQACAAAABzM4LjAzNDkATUu4lBfk3ggx9LqgF+TeCCNDSVEuSVFUNDk3NTExOTYuSVFfQ0RTX01JRC4wOS8wNy8yNgEAAADNmb0AAgAAAAI0MgBNS7iUF+TeCOKavaAX5N4II0NJUS5JUVQ2MDM4OTUxNi5JUV9DRFNfTUlELjA5LzA3LzI2AQAAAKXwwwECAAAABjcuMjQ2MQBNS7iUF+TeCPoSvqAX5N4IJENJUS5JUVQzMjM2ODAxMzAuSVFfQ0RTX01JRC4wOS8wNy8yNgEAAABx4QIAAgAAAAc1Mi40MTQ4AE1LuJQX5N4I92K+oBfk3ggkQ0lRLklRVDMxMzMxNTQyOS5JUV9DRFNfTUlELjA5LzA3LzI2AQAAADnnBQACAAAABzYyLjEwMjEAu8BXlBfk3gj3Yr6gF+TeCCNDSVEuSVFUNDYyMDQ4ODQuSVFfQ0RTX01JRC4xNi8wNy8yNgEAAACBUcABAgAAAAcyOS4zMzMzAE1LuJQX5N4Ict20oBfk</t>
  </si>
  <si>
    <t>3ggjQ0lRLklRVDQ2MjA3Nzg5LklRX0NEU19NSUQuMTYvMDcvMjYBAAAAKlijAQIAAAAHMjYuNDg1NgBNS7iUF+TeCHLdtKAX5N4IJENJUS5JUVQyODYwOTYxMzEuSVFfQ0RTX01JRC4xNi8wNy8yNgEAAAA78QQAAgAAAAc1OS43OTkyAE1LuJQX5N4ITjS2oBfk3ggjQ0lRLklRVDQ2MjEwNTYwLklRX0NEU19NSUQuMDgvMDcvMjYBAAAA9ho3AAIAAAAGODYuMDQ5AE1LuJQX5N4IM/PEoBfk3ggjQ0lRLklRVDQ2MjE5OTIyLklRX0NEU19NSUQuMDgvMDcvMjYBAAAA1kc5AQIAAAAGNy4zMzMzAE1LuJQX5N4IM/PEoBfk3ggjQ0lRLklRVDQ2MjIzNjQ2LklRX0NEU19NSUQuMDgvMDcvMjYBAAAAG3gEAAIAAAAHNDguMzY5NABNS7iUF+TeCF+pxaAX5N4IJENJUS5JUVQzMTMzMTQ5NzYuSVFfQ0RTX01JRC4wOC8wNy8yNgEAAABtSgAAAgAAAAQ1Ni41ALvAV5QX5N4IX6nFoBfk3ggjQ0lRLklRVDQ2MjE4NTE2LklRX0NEU19NSUQuMTcvMDcvMjUBAAAAplWjAQIAAAAHMzIuMzkyNgBNS7iUF+TeCP89w6AX5N4II0NJUS5JUVQ0NjIyMDgwMy5JUV9DRFNfTUlELjE3LzA3LzI1AQAAANbJNgACAAAABzQzLjEyODYATUu4lBfk3gjMKsSgF+TeCCNDSVEuSVFUNDYyMDAzNjQuSVFfQ0RTX01JRC4xNy8wNy8yNQEAAABXhggAAgAAAAczOC45Mjc0AE1LuJQX5N4IzCrEoBfk3ggjQ0lRLklRVDQ2MjA0MzAwLklRX0NEU19N</t>
  </si>
  <si>
    <t>SUQuMTUvMDcvMjYBAAAA9iV9AAIAAAAGNy4wMTcxAE1LuJQX5N4I5qC2oBfk3ggjQ0lRLklRVDYwMzg4MDU3LklRX0NEU19NSUQuMTUvMDcvMjYBAAAA38l9AQMAAAAAAE1LuJQX5N4IQyS3oBfk3ggjQ0lRLklRVDQ2MTk5ODQxLklRX0NEU19NSUQuMTUvMDcvMjYBAAAA6zAGAAMAAAAAAE1LuJQX5N4IQyS3oBfk3ggkQ0lRLklRVDMxMzMxMDE4NC5JUV9DRFNfTUlELjA2LzA3LzI2AQAAAGBEPgACAAAABzExLjM3ODcATUu4lBfk3ghfqcWgF+TeCCNDSVEuSVFUNDYyMTQ4NzkuSVFfQ0RTX01JRC4wNi8wNy8yNgEAAAD1GjcAAgAAAAY1MC41NDgATUu4lBfk3ggMb8agF+TeCCNDSVEuSVFUNDY0NzA4NzcuSVFfQ0RTX01JRC4wNi8wNy8yNgEAAABCNwcAAgAAAAc1NC4xODA1AE1LuJQX5N4IDG/GoBfk3ggkQ0lRLklRVDMxMzMxMDg1NC5JUV9DRFNfTUlELjA2LzA3LzI2AQAAAK9UDQACAAAABzYxLjMzMzMAu8BXlBfk3ghyOMegF+TeCCNDSVEuSVFUNDYyMTQ5NTQuSVFfQ0RTX01JRC4wNC8wNy8yNgEAAAA6PTkBAgAAAAcxNC4zMzMzAE1LuJQX5N4IU8HIoBfk3ggjQ0lRLklRVDQ2MjA4NjM0LklRX0NEU19NSUQuMDQvMDcvMjYBAAAAAx/CAAIAAAAHMjIuMzAwNABNS7iUF+TeCLGGyaAX5N4II0NJUS5JUVQ0NjIyNTA4My5JUV9DRFNfTUlELjA0LzA3LzI2AQAAAFZEBgACAAAABTM3LjI1AE1LuJQX5N4I</t>
  </si>
  <si>
    <t>sYbJoBfk3ggjQ0lRLklRVDQ2MjAzNzE0LklRX0NEU19NSUQuMTcvMDQvMjYBAAAAXwU1AAIAAAAHMjcuMDM5NgBNS7iUF+TeCHI4x6AX5N4II0NJUS5JUVQ3OTYzOTk1My5JUV9DRFNfTUlELjE3LzA0LzI2AQAAADSbVgECAAAABzI2LjAzNjUATUu4lBfk3giWC8igF+TeCCRDSVEuSVFUNTI4OTM2ODEyLklRX0NEU19NSUQuMTcvMDQvMjYBAAAAbFsGAAIAAAAHNTUuMTcxNABNS7iUF+TeCJYLyKAX5N4II0NJUS5JUVQ0NjE5NzEzOC5JUV9DRFNfTUlELjE0LzA3LzI2AQAAAO6UOAECAAAACDEyMy42MTE4AE1LuJQX5N4IPe23oBfk3ggjQ0lRLklRVDUxMDIzNDgwLklRX0NEU19NSUQuMTQvMDcvMjYBAAAAwkXxAQIAAAAGNC41MDY3AE1LuJQX5N4IPe23oBfk3ggjQ0lRLklRVDQ2MjA0OTU3LklRX0NEU19NSUQuMTQvMDcvMjYBAAAAIRUGAAIAAAAHNTQuNDMxMgBNS7iUF+TeCD3tt6AX5N4II0NJUS5JUVQ2MjI3MDEwNi5JUV9DRFNfTUlELjE0LzA3LzI2AQAAAK13gwACAAAABzc0LjYzMTgAu8BXlBfk3gg97begF+TeCCNDSVEuSVFUNzk2NDAwMjQuSVFfQ0RTX01JRC4xMy8wNy8yNgEAAAA1j5sBAgAAAAM3LjgATUu4lBfk3ghrX7OgF+TeCCRDSVEuSVFUMzEzMzA1ODc5LklRX0NEU19NSUQuMTMvMDcvMjYBAAAAhNbcAQMAAAAAAE1LuJQX5N4I/ie0oBfk3ggjQ0lRLklRVDQ2MjAwNDEyLklRX0NEU19N</t>
  </si>
  <si>
    <t>SUQuMTMvMDcvMjYBAAAAY0MGAAIAAAAHNDYuNDMyNQBNS7iUF+TeCHLdtKAX5N4II0NJUS5JUVQ0NjIwMzMzMi5JUV9DRFNfTUlELjEyLzA3LzI2AQAAAF8eNwACAAAABTExLjI1AE1LuJQX5N4IPe23oBfk3ggjQ0lRLklRVDQ2MjE1MTExLklRX0NEU19NSUQuMTIvMDcvMjYBAAAAoEuyAQIAAAAHMzYuNjk1NABNS7iUF+TeCEyAuaAX5N4II0NJUS5JUVQ0NjIyNjEzMi5JUV9DRFNfTUlELjEyLzA3LzI2AQAAAN1ZAAACAAAABzQxLjY3NzYATUu4lBfk3ggGRLqgF+TeCCRDSVEuSVFUMzEzMzEzNTI0LklRX0NEU19NSUQuMTIvMDcvMjYBAAAA71UNAAIAAAAHNjAuNTE0OQC7wFeUF+TeCAZEuqAX5N4II0NJUS5JUVQ3OTYzOTkxMy5JUV9DRFNfTUlELjEwLzA3LzI2AQAAACBjHAICAAAABjcuOTE2MwBNS7iUF+TeCEiSvKAX5N4II0NJUS5JUVQ0NjIwNzg3Mi5JUV9DRFNfTUlELjEwLzA3LzI2AQAAAFgNCgACAAAABzQwLjQzMDMATUu4lBfk3ghIkrygF+TeCCNDSVEuSVFUNDYyMDAzMTcuSVFfQ0RTX01JRC4xMC8wNy8yNgEAAAD+VA0AAgAAAAc2NS40NjE3ALvAV5QX5N4ISJK8oBfk3ggkQ0lRLklRVDY0NDcwMTc5Ny5JUV9DRFNfTUlELjA3LzA3LzI2AQAAAFM/fQECAAAABzEwLjM3ODIATUu4lBfk3gj3Yr6gF+TeCCNDSVEuSVFUNDYyMTY5ODYuSVFfQ0RTX01JRC4wNy8wNy8yNgEAAADORDgBAwAAAAAA</t>
  </si>
  <si>
    <t>TUu4lBfk3ggZir+gF+TeCCRDSVEuSVFUMjU0OTU1MjMzLklRX0NEU19NSUQuMDcvMDcvMjYBAAAAOVYKAAIAAAAENDIuNQBNS7iUF+TeCBmKv6AX5N4II0NJUS5JUVQ0NjE5NjIyNS5JUV9DRFNfTUlELjA1LzA3LzI2AQAAAL5VowECAAAABjE3LjM3NQBNS7iUF+TeCBmKv6AX5N4II0NJUS5JUVQ1MTAyMzI2MC5JUV9DRFNfTUlELjA1LzA3LzI2AQAAALERfwECAAAABzEzLjQ1ODEATUu4lBfk3ghlE8GgF+TeCCNDSVEuSVFUNDYyMjQ3NDAuSVFfQ0RTX01JRC4wNS8wNy8yNgEAAADTcggAAgAAAAczMy42NzY3AE1LuJQX5N4IZRPBoBfk3ggkQ0lRLklRVDMxMzMxNzM0NC5JUV9DRFNfTUlELjA1LzA3LzI2AQAAAPGsAQACAAAABzU5LjYzNTQAu8BXlBfk3ggu2MGgF+TeCCNDSVEuSVFUNDYyMDAyNzYuSVFfQ0RTX01JRC4wMy8wNy8yNgEAAACWd3wBAgAAAAcyNi40MjI5AE1LuJQX5N4ILtjBoBfk3ggjQ0lRLklRVDQ2MTk1NDkxLklRX0NEU19NSUQuMDMvMDcvMjYBAAAAaUoAAAIAAAAHNTQuOTcxMwBNS7iUF+TeCMSfwqAX5N4II0NJUS5JUVQ0NjIwNDg4NC5JUV9DRFNfTUlELjE1LzA3LzI2AQAAAIFRwAECAAAABzI5LjQzNzUATUu4lBfk3givx7agF+TeCCNDSVEuSVFUNDYyMDc3ODkuSVFfQ0RTX01JRC4xNS8wNy8yNgEAAAAqWKMBAgAAAAYyNi40MTEATUu4lBfk3ghDJLegF+TeCCRDSVEuSVFUMjg2</t>
  </si>
  <si>
    <t>MDk2MTMxLklRX0NEU19NSUQuMTUvMDcvMjYBAAAAO/EEAAIAAAAHNjAuNjY0NABNS7iUF+TeCEMkt6AX5N4II0NJUS5JUVQ0NjIwMDM2NC5JUV9DRFNfTUlELjA0LzA3LzI2AQAAAFeGCAACAAAABjI0Ljg3NQBNS7iUF+TeCLGGyaAX5N4II0NJUS5JUVQ0NjIwODYzNC5JUV9DRFNfTUlELjA3LzA3LzI2AQAAAAMfwgACAAAABzIyLjE0NjUATUu4lBfk3ggZir+gF+TeCCNDSVEuSVFUNDYyMDM3MTQuSVFfQ0RTX01JRC4wNS8wNy8yNgEAAABfBTUAAgAAAAcyOS4wNjI5AE1LuJQX5N4IGYq/oBfk3ggjQ0lRLklRVDc5NjM5OTUzLklRX0NEU19NSUQuMDUvMDcvMjYBAAAANJtWAQIAAAAHMjQuODgzNQBNS7iUF+TeCGUTwaAX5N4IJENJUS5JUVQ1Mjg5MzY4MTIuSVFfQ0RTX01JRC4wNS8wNy8yNgEAAABsWwYAAgAAAAc0Ni42MzYzAE1LuJQX5N4IZRPBoBfk3ggjQ0lRLklRVDQ2MTk3MTM4LklRX0NEU19NSUQuMDMvMDcvMjYBAAAA7pQ4AQIAAAAIMTI1LjM2NjcATUu4lBfk3ggu2MGgF+TeCCNDSVEuSVFUNTEwMjM0ODAuSVFfQ0RTX01JRC4wMy8wNy8yNgEAAADCRfEBAgAAAAY0LjcwNTgATUu4lBfk3ggu2MGgF+TeCCNDSVEuSVFUNDYyMDQ5NTcuSVFfQ0RTX01JRC4wMy8wNy8yNgEAAAAhFQYAAgAAAAc1My40MjM3AE1LuJQX5N4IxJ/CoBfk3ggjQ0lRLklRVDYyMjcwMTA2LklRX0NEU19NSUQuMDMvMDcv</t>
  </si>
  <si>
    <t>MjYBAAAArXeDAAIAAAAHNzUuODc4MgC7wFeUF+TeCP89w6AX5N4IJENJUS5JUVQyNTQ5NTUyMzMuSVFfQ0RTX01JRC4wMy8wNy8yNgEAAAA5VgoAAgAAAAc0Mi45MTQ2AE1LuJQX5N4IxJ/CoBfk3ggjQ0lRLklRVDQ2MjEwMDMyLklRX0NEU19NSUQuMDQvMDcvMjYBAAAAj1WjAQIAAAAHMzcuNDEyNQBNS7iUF+TeCLGGyaAX5N4II0NJUS5JUVQ0NjIwNzU3MS5JUV9DRFNfTUlELjExLzA3LzI2AQAAAG3vNQACAAAABjI5LjMwNQBNS7iUF+TeCDH0uqAX5N4II0NJUS5JUVQ0NjIxMzQ3Mi5JUV9DRFNfTUlELjExLzA3LzI2AQAAALlaOAACAAAABzE1LjAwMDUATUu4lBfk3ggx9LqgF+TeCCRDSVEuSVFUMjYzMjEzMTMyLklRX0NEU19NSUQuMTEvMDcvMjYBAAAA4ZoIAAIAAAAHNTQuOTk0NABNS7iUF+TeCDH0uqAX5N4II0NJUS5JUVQ0NjE5NDk5NS5JUV9DRFNfTUlELjA5LzA3LzI2AQAAAG4QMQACAAAABjEwLjk5NgBNS7iUF+TeCOKavaAX5N4II0NJUS5JUVQ0NjIyMjI5Mi5JUV9DRFNfTUlELjA5LzA3LzI2AQAAANGRmwECAAAACDc2MC4zODUyAE1LuJQX5N4I+hK+oBfk3ggjQ0lRLklRVDQ2MjI1MDA2LklRX0NEU19NSUQuMDkvMDcvMjYBAAAA+FUNAAIAAAAHNDEuMjc2NwBNS7iUF+TeCPdivqAX5N4II0NJUS5JUVQ0NjIyMDMyOS5JUV9DRFNfTUlELjA5LzA3LzI2AQAAANtbAAACAAAABDU2LjUAu8BX</t>
  </si>
  <si>
    <t>lBfk3gj3Yr6gF+TeCCNDSVEuSVFUNDYyMDczMDguSVFfQ0RTX01JRC4xNi8wNy8yNgEAAAA5iXoBAgAAAAcxNC40Mzc1AE1LuJQX5N4Ict20oBfk3ggjQ0lRLklRVDQ2MjEwMDMyLklRX0NEU19NSUQuMTYvMDcvMjYBAAAAj1WjAQIAAAAGMzYuNjc1AE1LuJQX5N4Ict20oBfk3ggjQ0lRLklRVDQ2MjI1Mzc0LklRX0NEU19NSUQuMTYvMDcvMjYBAAAAtdYFAAIAAAAGMzguNDE1AE1LuJQX5N4ITjS2oBfk3ggjQ0lRLklRVDQ5NzUxMTk2LklRX0NEU19NSUQuMDgvMDcvMjYBAAAAzZm9AAIAAAAHNDEuOTQ4MQBNS7iUF+TeCDPzxKAX5N4II0NJUS5JUVQ2MDM4OTUxNi5JUV9DRFNfTUlELjA4LzA3LzI2AQAAAKXwwwECAAAABjcuMjQxOQBNS7iUF+TeCDPzxKAX5N4IJENJUS5JUVQzMjM2ODAxMzAuSVFfQ0RTX01JRC4wOC8wNy8yNgEAAABx4QIAAgAAAAc1Mi41NjI0AE1LuJQX5N4IX6nFoBfk3ggkQ0lRLklRVDMxMzMxNTQyOS5JUV9DRFNfTUlELjA4LzA3LzI2AQAAADnnBQACAAAABzYyLjY0MDIAu8BXlBfk3ghfqcWgF+TeCCNDSVEuSVFUNDYyMTg2NzQuSVFfQ0RTX01JRC4xNy8wNy8yNQEAAABXyjYAAgAAAAgxOTQuODA2OQBNS7iUF+TeCMwqxKAX5N4II0NJUS5JUVQ0NjIyNTcxNS5JUV9DRFNfTUlELjE3LzA3LzI1AQAAALflBAACAAAABDM2LjEATUu4lBfk3gjMKsSgF+TeCCNDSVEuSVFUNDYyMDg2</t>
  </si>
  <si>
    <t>MzQuSVFfQ0RTX01JRC4xMy8wNy8yNgEAAAADH8IAAgAAAAcyMi43NzM0AE1LuJQX5N4I/ie0oBfk3ggjQ0lRLklRVDQ2MjI1MDgzLklRX0NEU19NSUQuMTMvMDcvMjYBAAAAVkQGAAIAAAAGMzcuMzc2AE1LuJQX5N4Ict20oBfk3ggjQ0lRLklRVDQ2MjAzNzE0LklRX0NEU19NSUQuMTIvMDcvMjYBAAAAXwU1AAIAAAAHMzAuNzAzOQBNS7iUF+TeCO57uaAX5N4II0NJUS5JUVQ3OTYzOTk1My5JUV9DRFNfTUlELjEyLzA3LzI2AQAAADSbVgECAAAABzI0LjkxOTEATUu4lBfk3ghMgLmgF+TeCCRDSVEuSVFUNTI4OTM2ODEyLklRX0NEU19NSUQuMTIvMDcvMjYBAAAAbFsGAAIAAAAGNDYuNzI3AE1LuJQX5N4IBkS6oBfk3ggjQ0lRLklRVDQ2MTk3MTM4LklRX0NEU19NSUQuMTAvMDcvMjYBAAAA7pQ4AQIAAAAIMTIzLjY2MDcATUu4lBfk3gi777ugF+TeCCNDSVEuSVFUNDYyMDQ5NTcuSVFfQ0RTX01JRC4xMC8wNy8yNgEAAAAhFQYAAgAAAAc1My44NjI3AE1LuJQX5N4ISJK8oBfk3ggjQ0lRLklRVDYyMjcwMTA2LklRX0NEU19NSUQuMTAvMDcvMjYBAAAArXeDAAIAAAAHNzQuODg3OQC7wFeUF+TeCEiSvKAX5N4II0NJUS5JUVQ3OTY0MDAyNC5JUV9DRFNfTUlELjA3LzA3LzI2AQAAADWPmwECAAAABjcuOTM3NQBNS7iUF+TeCPdivqAX5N4IJENJUS5JUVQzMTMzMDU4NzkuSVFfQ0RTX01JRC4wNy8wNy8yNgEA</t>
  </si>
  <si>
    <t>AACE1twBAwAAAAAATUu4lBfk3ggZir+gF+TeCCNDSVEuSVFUNDYyMDA0MTIuSVFfQ0RTX01JRC4wNy8wNy8yNgEAAABjQwYAAgAAAAc0Ny42ODY5AE1LuJQX5N4IGYq/oBfk3ggjQ0lRLklRVDQ2MjAzMzMyLklRX0NEU19NSUQuMDUvMDcvMjYBAAAAXx43AAIAAAAGMTEuMzc1AE1LuJQX5N4IGYq/oBfk3ggjQ0lRLklRVDQ2MjE1MTExLklRX0NEU19NSUQuMDUvMDcvMjYBAAAAoEuyAQIAAAAHMzcuMDMzMQBNS7iUF+TeCGUTwaAX5N4II0NJUS5JUVQ0NjIyNjEzMi5JUV9DRFNfTUlELjA1LzA3LzI2AQAAAN1ZAAACAAAABjQxLjQ4NQBNS7iUF+TeCGUTwaAX5N4IJENJUS5JUVQzMTMzMTM1MjQuSVFfQ0RTX01JRC4wNS8wNy8yNgEAAADvVQ0AAgAAAAc2MC4wMTc0ALvAV5QX5N4ILtjBoBfk3ggjQ0lRLklRVDc5NjM5OTEzLklRX0NEU19NSUQuMDMvMDcvMjYBAAAAIGMcAgIAAAAFOC4xMjUATUu4lBfk3ggu2MGgF+TeCCNDSVEuSVFUNDYyMDc4NzIuSVFfQ0RTX01JRC4wMy8wNy8yNgEAAABYDQoAAgAAAAc0MC4wMDQyAE1LuJQX5N4IxJ/CoBfk3ggjQ0lRLklRVDQ2NDcwODc3LklRX0NEU19NSUQuMTAvMDcvMjYBAAAAQjcHAAIAAAAHNTUuOTc0OQBNS7iUF+TeCEiSvKAX5N4IJENJUS5JUVQzMTMzMTA4NTQuSVFfQ0RTX01JRC4xMC8wNy8yNgEAAACvVA0AAgAAAAQ2MS41ALvAV5QX5N4ISJK8oBfk3ggk</t>
  </si>
  <si>
    <t>Q0lRLklRVDY0NDcwMTc5Ny5JUV9DRFNfTUlELjExLzA3LzI2AQAAAFM/fQECAAAABzEwLjUzNzgATUu4lBfk3ggx9LqgF+TeCCNDSVEuSVFUNDYyMTY5ODYuSVFfQ0RTX01JRC4xMS8wNy8yNgEAAADORDgBAwAAAAAATUu4lBfk3ggx9LqgF+TeCCRDSVEuSVFUMjU0OTU1MjMzLklRX0NEU19NSUQuMTEvMDcvMjYBAAAAOVYKAAIAAAAHNDIuNzAxNABNS7iUF+TeCDH0uqAX5N4II0NJUS5JUVQ0NjE5NjIyNS5JUV9DRFNfTUlELjA5LzA3LzI2AQAAAL5VowECAAAABTE3LjQ1AE1LuJQX5N4I4pq9oBfk3ggjQ0lRLklRVDUxMDIzMjYwLklRX0NEU19NSUQuMDkvMDcvMjYBAAAAsRF/AQIAAAAHMTQuMDAwNgBNS7iUF+TeCPoSvqAX5N4II0NJUS5JUVQ0NjIyNDc0MC5JUV9DRFNfTUlELjA5LzA3LzI2AQAAANNyCAACAAAABjMzLjgxNQBNS7iUF+TeCPdivqAX5N4IJENJUS5JUVQzMTMzMTczNDQuSVFfQ0RTX01JRC4wOS8wNy8yNgEAAADxrAEAAgAAAAc2MC40NTM1ALvAV5QX5N4I92K+oBfk3ggjQ0lRLklRVDQ2MjA3NTcxLklRX0NEU19NSUQuMTYvMDcvMjYBAAAAbe81AAIAAAACMzAATUu4lBfk3ghy3bSgF+TeCCNDSVEuSVFUNDYyMTM0NzIuSVFfQ0RTX01JRC4xNi8wNy8yNgEAAAC5WjgAAgAAAAcxNS4wNjI1AE1LuJQX5N4Ict20oBfk3ggkQ0lRLklRVDI2MzIxMzEzMi5JUV9DRFNfTUlELjE2LzA3LzI2</t>
  </si>
  <si>
    <t>AQAAAOGaCAACAAAABzU1LjA5ODcATUu4lBfk3ghONLagF+TeCCNDSVEuSVFUNDYxOTQ5OTUuSVFfQ0RTX01JRC4wOC8wNy8yNgEAAABuEDEAAgAAAAUxMC45OABNS7iUF+TeCDPzxKAX5N4II0NJUS5JUVQ0NjIyMjI5Mi5JUV9DRFNfTUlELjA4LzA3LzI2AQAAANGRmwECAAAACDc1OS42MjUyAE1LuJQX5N4IM/PEoBfk3ggjQ0lRLklRVDQ2MjI1MDA2LklRX0NEU19NSUQuMDgvMDcvMjYBAAAA+FUNAAIAAAAHNDEuNTcwMQBNS7iUF+TeCF+pxaAX5N4II0NJUS5JUVQ0NjIyMDMyOS5JUV9DRFNfTUlELjA4LzA3LzI2AQAAANtbAAACAAAABDU2LjUAu8BXlBfk3ghfqcWgF+TeCCNDSVEuSVFUNDYyNjIzNzguSVFfQ0RTX01JRC4xNy8wNy8yNQEAAABA0okBAgAAAAcxNi42NjY3AE1LuJQX5N4I/z3DoBfk3ggjQ0lRLklRVDQ2MTk3Njk0LklRX0NEU19NSUQuMTcvMDcvMjUBAAAAB/oFAAIAAAAHNTUuNzU3NwBNS7iUF+TeCMwqxKAX5N4II0NJUS5JUVQ2MjI3MDEwNy5JUV9DRFNfTUlELjE3LzA3LzI1AQAAABVZAAACAAAABzMxLjMzMzMATUu4lBfk3gjMKsSgF+TeCCNDSVEuSVFUNDYyMDczMDguSVFfQ0RTX01JRC4xNS8wNy8yNgEAAAA5iXoBAgAAAAcxNC41NjI1AE1LuJQX5N4Ir8e2oBfk3ggjQ0lRLklRVDQ2MjEwMDMyLklRX0NEU19NSUQuMTUvMDcvMjYBAAAAj1WjAQIAAAAFMzYuOTMATUu4lBfk3ghD</t>
  </si>
  <si>
    <t>JLegF+TeCCNDSVEuSVFUNDYyMjUzNzQuSVFfQ0RTX01JRC4xNS8wNy8yNgEAAAC11gUAAgAAAAczOC41MDE1AE1LuJQX5N4IQyS3oBfk3ggjQ0lRLklRVDQ5NzUxMTk2LklRX0NEU19NSUQuMDYvMDcvMjYBAAAAzZm9AAIAAAAHNDEuODc0NABNS7iUF+TeCF+pxaAX5N4II0NJUS5JUVQ2MDM4OTUxNi5JUV9DRFNfTUlELjA2LzA3LzI2AQAAAKXwwwECAAAABjcuMjQ0MgBNS7iUF+TeCAxvxqAX5N4IJENJUS5JUVQzMjM2ODAxMzAuSVFfQ0RTX01JRC4wNi8wNy8yNgEAAABx4QIAAgAAAAY1Mi42ODYATUu4lBfk3ggMb8agF+TeCCRDSVEuSVFUMzEzMzE1NDI5LklRX0NEU19NSUQuMDYvMDcvMjYBAAAAOecFAAIAAAAGNjEuODYzALvAV5QX5N4IcjjHoBfk3ggjQ0lRLklRVDQ2MjA2Nzc5LklRX0NEU19NSUQuMDQvMDcvMjYBAAAA/O82AAIAAAAHMTUuODEyNQBNS7iUF+TeCFPByKAX5N4II0NJUS5JUVQ0NjIxODY3NC5JUV9DRFNfTUlELjA0LzA3LzI2AQAAAFfKNgACAAAACDEyNS45NTkxAE1LuJQX5N4IsYbJoBfk3ggjQ0lRLklRVDQ2MjI1NzE1LklRX0NEU19NSUQuMDQvMDcvMjYBAAAAt+UEAAIAAAAHMzkuNDM2MQBNS7iUF+TeCLGGyaAX5N4II0NJUS5JUVQ0NjIwNDg4NC5JUV9DRFNfTUlELjE3LzA0LzI2AQAAAIFRwAECAAAABzMwLjI3NjcATUu4lBfk3ghyOMegF+TeCCNDSVEuSVFUNDYyMDc3ODku</t>
  </si>
  <si>
    <t>SVFfQ0RTX01JRC4xNy8wNC8yNgEAAAAqWKMBAgAAAAcyNy41MTkxAE1LuJQX5N4IlgvIoBfk3ggkQ0lRLklRVDI4NjA5NjEzMS5JUV9DRFNfTUlELjE3LzA0LzI2AQAAADvxBAACAAAABzY4LjE5MzgATUu4lBfk3gg9vcigF+TeCCNDSVEuSVFUNDYyMTA1NjAuSVFfQ0RTX01JRC4xNC8wNy8yNgEAAAD2GjcAAgAAAAc4NS40NDM1AE1LuJQX5N4IPe23oBfk3ggjQ0lRLklRVDQ2MjE5OTIyLklRX0NEU19NSUQuMTQvMDcvMjYBAAAA1kc5AQIAAAAENy4yNQBNS7iUF+TeCD3tt6AX5N4II0NJUS5JUVQ0NjIyMzY0Ni5JUV9DRFNfTUlELjE0LzA3LzI2AQAAABt4BAACAAAABzQ5Ljg1MDIATUu4lBfk3gg97begF+TeCCRDSVEuSVFUMzEzMzE0OTc2LklRX0NEU19NSUQuMTQvMDcvMjYBAAAAbUoAAAIAAAAENTYuNQC7wFeUF+TeCD3tt6AX5N4II0NJUS5JUVQ0NjIxODUxNi5JUV9DRFNfTUlELjEzLzA3LzI2AQAAAKZVowECAAAABzM2LjE0OTMATUu4lBfk3gj+J7SgF+TeCCNDSVEuSVFUNDYyMjA4MDMuSVFfQ0RTX01JRC4xMy8wNy8yNgEAAADWyTYAAgAAAAc0MS4zNjc4AE1LuJQX5N4I/ie0oBfk3ggjQ0lRLklRVDQ2MjAwMzY0LklRX0NEU19NSUQuMTMvMDcvMjYBAAAAV4YIAAIAAAAFMjQuOTgATUu4lBfk3ghy3bSgF+TeCCNDSVEuSVFUNDYyMDQzMDAuSVFfQ0RTX01JRC4xMi8wNy8yNgEAAAD2JX0AAgAA</t>
  </si>
  <si>
    <t>AAU3LjAwMgBNS7iUF+TeCEyAuaAX5N4II0NJUS5JUVQ2MDM4ODA1Ny5JUV9DRFNfTUlELjEyLzA3LzI2AQAAAN/JfQEDAAAAAABNS7iUF+TeCEyAuaAX5N4II0NJUS5JUVQ0NjE5OTg0MS5JUV9DRFNfTUlELjEyLzA3LzI2AQAAAOswBgADAAAAAABNS7iUF+TeCAZEuqAX5N4IJENJUS5JUVQzMTMzMTAxODQuSVFfQ0RTX01JRC4xMC8wNy8yNgEAAABgRD4AAgAAAAcxMS4yMjc5AE1LuJQX5N4Iu++7oBfk3ggjQ0lRLklRVDQ2MjE0ODc5LklRX0NEU19NSUQuMTAvMDcvMjYBAAAA9Ro3AAIAAAAHNTAuNTQ2MgBNS7iUF+TeCEiSvKAX5N4II0NJUS5JUVQ3OTY0MDAyNC5JUV9DRFNfTUlELjExLzA3LzI2AQAAADWPmwECAAAABjcuNjcxOQBNS7iUF+TeCDH0uqAX5N4IJENJUS5JUVQzMTMzMDU4NzkuSVFfQ0RTX01JRC4xMS8wNy8yNgEAAACE1twBAwAAAAAATUu4lBfk3ggx9LqgF+TeCCNDSVEuSVFUNDYyMDA0MTIuSVFfQ0RTX01JRC4xMS8wNy8yNgEAAABjQwYAAgAAAAc0NS44NTYxAE1LuJQX5N4Iu++7oBfk3ggjQ0lRLklRVDQ2MjAzMzMyLklRX0NEU19NSUQuMDkvMDcvMjYBAAAAXx43AAIAAAAFMTEuMjUATUu4lBfk3gjimr2gF+TeCCNDSVEuSVFUNDYyMTUxMTEuSVFfQ0RTX01JRC4wOS8wNy8yNgEAAACgS7IBAgAAAAczNi45MjkzAE1LuJQX5N4I+hK+oBfk3ggjQ0lRLklRVDQ2MjI2MTMyLklRX0NE</t>
  </si>
  <si>
    <t>U19NSUQuMDkvMDcvMjYBAAAA3VkAAAIAAAAHNDEuNjM3NQBNS7iUF+TeCPdivqAX5N4IJENJUS5JUVQzMTMzMTM1MjQuSVFfQ0RTX01JRC4wOS8wNy8yNgEAAADvVQ0AAgAAAAc2MC41MzAyALvAV5QX5N4I92K+oBfk3ggkQ0lRLklRVDY0NDcwMTc5Ny5JUV9DRFNfTUlELjE2LzA3LzI2AQAAAFM/fQECAAAABzEwLjM0MTQATUu4lBfk3ghy3bSgF+TeCCNDSVEuSVFUNDYyMTY5ODYuSVFfQ0RTX01JRC4xNi8wNy8yNgEAAADORDgBAwAAAAAATUu4lBfk3ghy3bSgF+TeCCRDSVEuSVFUMjU0OTU1MjMzLklRX0NEU19NSUQuMTYvMDcvMjYBAAAAOVYKAAIAAAACNDMATUu4lBfk3ghONLagF+TeCCNDSVEuSVFUNDYxOTYyMjUuSVFfQ0RTX01JRC4wOC8wNy8yNgEAAAC+VaMBAgAAAAUxNy40NQBNS7iUF+TeCDPzxKAX5N4II0NJUS5JUVQ1MTAyMzI2MC5JUV9DRFNfTUlELjA4LzA3LzI2AQAAALERfwECAAAABjE0LjEyNQBNS7iUF+TeCDPzxKAX5N4II0NJUS5JUVQ0NjIyNDc0MC5JUV9DRFNfTUlELjA4LzA3LzI2AQAAANNyCAACAAAABTMzLjk1AE1LuJQX5N4IX6nFoBfk3ggkQ0lRLklRVDMxMzMxNzM0NC5JUV9DRFNfTUlELjA4LzA3LzI2AQAAAPGsAQACAAAABzYwLjMyNTMAu8BXlBfk3ghfqcWgF+TeCCNDSVEuSVFUNDYyMDAyNzYuSVFfQ0RTX01JRC4xNy8wNy8yNQEAAACWd3wBAgAAAAcyNS42NjYxAE1L</t>
  </si>
  <si>
    <t>uJQX5N4I/z3DoBfk3ggjQ0lRLklRVDQ2MTk1NDkxLklRX0NEU19NSUQuMTcvMDcvMjUBAAAAaUoAAAIAAAAHNTQuMzk3OQBNS7iUF+TeCMwqxKAX5N4II0NJUS5JUVQ3OTYzNDkwMS5JUV9DRFNfTUlELjE3LzA3LzI1AQAAAJwGEAACAAAABzU1LjgxNjUAu8BXlBfk3gjMKsSgF+TeCCNDSVEuSVFUNDYyMDc1NzEuSVFfQ0RTX01JRC4xNS8wNy8yNgEAAABt7zUAAgAAAAUyOS44NQBNS7iUF+TeCK/HtqAX5N4II0NJUS5JUVQ0NjIxMzQ3Mi5JUV9DRFNfTUlELjE1LzA3LzI2AQAAALlaOAACAAAAAjE1AE1LuJQX5N4IQyS3oBfk3ggkQ0lRLklRVDI2MzIxMzEzMi5JUV9DRFNfTUlELjE1LzA3LzI2AQAAAOGaCAACAAAABzU1LjEyNjcATUu4lBfk3ghDJLegF+TeCCNDSVEuSVFUNDYxOTQ5OTUuSVFfQ0RTX01JRC4wNi8wNy8yNgEAAABuEDEAAgAAAAIxMQBNS7iUF+TeCF+pxaAX5N4II0NJUS5JUVQ0NjIyMjI5Mi5JUV9DRFNfTUlELjA2LzA3LzI2AQAAANGRmwECAAAACDc1OS4zMDU1AE1LuJQX5N4IDG/GoBfk3ggjQ0lRLklRVDQ2MjI1MDA2LklRX0NEU19NSUQuMDYvMDcvMjYBAAAA+FUNAAIAAAAHNDAuNzk5MwBNS7iUF+TeCHI4x6AX5N4II0NJUS5JUVQ0NjIyMDMyOS5JUV9DRFNfTUlELjA2LzA3LzI2AQAAANtbAAACAAAAAjU2ALvAV5QX5N4IcjjHoBfk3ggjQ0lRLklRVDQ2MjYyMzc4LklRX0NEU19N</t>
  </si>
  <si>
    <t>SUQuMDQvMDcvMjYBAAAAQNKJAQIAAAAGMTcuODc1AE1LuJQX5N4IU8HIoBfk3ggjQ0lRLklRVDQ2MTk3Njk0LklRX0NEU19NSUQuMDQvMDcvMjYBAAAAB/oFAAIAAAAHNTEuNzU0MwBNS7iUF+TeCLGGyaAX5N4II0NJUS5JUVQ2MjI3MDEwNy5JUV9DRFNfTUlELjA0LzA3LzI2AQAAABVZAAACAAAABzQxLjA1MTIATUu4lBfk3ggKPcqgF+TeCCNDSVEuSVFUNDYyMDczMDguSVFfQ0RTX01JRC4xNy8wNC8yNgEAAAA5iXoBAgAAAAQxNS43AE1LuJQX5N4IcjjHoBfk3ggjQ0lRLklRVDQ2MjEwMDMyLklRX0NEU19NSUQuMTcvMDQvMjYBAAAAj1WjAQIAAAAHMzcuMjk2NwBNS7iUF+TeCJYLyKAX5N4II0NJUS5JUVQ0NjIyNTM3NC5JUV9DRFNfTUlELjE3LzA0LzI2AQAAALXWBQACAAAABzQ3LjQxMzgATUu4lBfk3ghTwcigF+TeCCNDSVEuSVFUNDk3NTExOTYuSVFfQ0RTX01JRC4xNC8wNy8yNgEAAADNmb0AAgAAAAU0MS43NQBNS7iUF+TeCD3tt6AX5N4II0NJUS5JUVQ2MDM4OTUxNi5JUV9DRFNfTUlELjE0LzA3LzI2AQAAAKXwwwECAAAABjcuMjQ5MQBNS7iUF+TeCD3tt6AX5N4IJENJUS5JUVQzMjM2ODAxMzAuSVFfQ0RTX01JRC4xNC8wNy8yNgEAAABx4QIAAgAAAAc1Mi40OTUzAE1LuJQX5N4IPe23oBfk3ggkQ0lRLklRVDMxMzMxNTQyOS5JUV9DRFNfTUlELjE0LzA3LzI2AQAAADnnBQACAAAABzYyLjUw</t>
  </si>
  <si>
    <t>MTMAu8BXlBfk3gg97begF+TeCCNDSVEuSVFUNDYyMDY3NzkuSVFfQ0RTX01JRC4xMy8wNy8yNgEAAAD87zYAAgAAAAcxNi4wMjA2AE1LuJQX5N4I/ie0oBfk3ggjQ0lRLklRVDQ2MjE4Njc0LklRX0NEU19NSUQuMTMvMDcvMjYBAAAAV8o2AAIAAAAIMTI0LjM4MTYATUu4lBfk3gj+J7SgF+TeCCNDSVEuSVFUNDYyMjU3MTUuSVFfQ0RTX01JRC4xMy8wNy8yNgEAAAC35QQAAgAAAAc0MS4xNzM3AE1LuJQX5N4Ict20oBfk3ggjQ0lRLklRVDQ2MjA0ODg0LklRX0NEU19NSUQuMTIvMDcvMjYBAAAAgVHAAQIAAAAHMjkuMTg3NQBNS7iUF+TeCEyAuaAX5N4II0NJUS5JUVQ0NjIwNzc4OS5JUV9DRFNfTUlELjEyLzA3LzI2AQAAACpYowECAAAABzI2LjUxNjMATUu4lBfk3ghMgLmgF+TeCCRDSVEuSVFUMjg2MDk2MTMxLklRX0NEU19NSUQuMTIvMDcvMjYBAAAAO/EEAAIAAAAHNjAuMTg5NABNS7iUF+TeCAZEuqAX5N4II0NJUS5JUVQ0NjIxMDU2MC5JUV9DRFNfTUlELjEwLzA3LzI2AQAAAPYaNwACAAAABzg0LjY1NDcATUu4lBfk3gi777ugF+TeCCNDSVEuSVFUNDYyMTk5MjIuSVFfQ0RTX01JRC4xMC8wNy8yNgEAAADWRzkBAgAAAAY2LjcyNzYATUu4lBfk3ghIkrygF+TeCCNDSVEuSVFUNDYyMjM2NDYuSVFfQ0RTX01JRC4xMC8wNy8yNgEAAAAbeAQAAgAAAAc0OS40MzExAE1LuJQX5N4ISJK8oBfk3ggkQ0lR</t>
  </si>
  <si>
    <t>LklRVDMxMzMxNDk3Ni5JUV9DRFNfTUlELjEwLzA3LzI2AQAAAG1KAAACAAAABDU2LjUAu8BXlBfk3ghIkrygF+TeCCNDSVEuSVFUNDYyMTg1MTYuSVFfQ0RTX01JRC4wNy8wNy8yNgEAAACmVaMBAgAAAAczOC41Nzk0AE1LuJQX5N4I92K+oBfk3ggjQ0lRLklRVDQ2MjIwODAzLklRX0NEU19NSUQuMDcvMDcvMjYBAAAA1sk2AAIAAAAFNDAuMjUATUu4lBfk3ggZir+gF+TeCCNDSVEuSVFUNDYyMDAzNjQuSVFfQ0RTX01JRC4wNy8wNy8yNgEAAABXhggAAgAAAAQyNC44AE1LuJQX5N4IGYq/oBfk3ggjQ0lRLklRVDQ2MjA0MzAwLklRX0NEU19NSUQuMDUvMDcvMjYBAAAA9iV9AAIAAAAGNy4wMTY1AE1LuJQX5N4IGYq/oBfk3ggjQ0lRLklRVDYwMzg4MDU3LklRX0NEU19NSUQuMDUvMDcvMjYBAAAA38l9AQMAAAAAAE1LuJQX5N4IZRPBoBfk3ggjQ0lRLklRVDQ2MTk5ODQxLklRX0NEU19NSUQuMDUvMDcvMjYBAAAA6zAGAAMAAAAAAE1LuJQX5N4IZRPBoBfk3ggkQ0lRLklRVDMxMzMxMDE4NC5JUV9DRFNfTUlELjAzLzA3LzI2AQAAAGBEPgACAAAABjExLjM0OABNS7iUF+TeCC7YwaAX5N4II0NJUS5JUVQ0NjIxNDg3OS5JUV9DRFNfTUlELjAzLzA3LzI2AQAAAPUaNwACAAAABzUwLjU0ODYATUu4lBfk3ggu2MGgF+TeCCNDSVEuSVFUNDY0NzA4NzcuSVFfQ0RTX01JRC4wMy8wNy8yNgEAAABCNwcAAgAAAAc1</t>
  </si>
  <si>
    <t>NS4wODM5AE1LuJQX5N4IxJ/CoBfk3ggkQ0lRLklRVDMxMzMxMDg1NC5JUV9DRFNfTUlELjAzLzA3LzI2AQAAAK9UDQACAAAABzYxLjMzMzMAu8BXlBfk3gj/PcOgF+TeCCNDSVEuSVFUNDYxOTU0OTEuSVFfQ0RTX01JRC4wNC8wNy8yNgEAAABpSgAAAgAAAAc1NC45NzEzAE1LuJQX5N4IsYbJoBfk3ggjQ0lRLklRVDQ2MjEzNDcyLklRX0NEU19NSUQuMTcvMDQvMjYBAAAAuVo4AAIAAAAGMTUuNzUzAE1LuJQX5N4IlgvIoBfk3ggjQ0lRLklRVDQ2MTk0OTk1LklRX0NEU19NSUQuMTQvMDcvMjYBAAAAbhAxAAIAAAACMTEATUu4lBfk3gg97begF+TeCCNDSVEuSVFUNDYyNjIzNzguSVFfQ0RTX01JRC4xMy8wNy8yNgEAAABA0okBAgAAAAcxNy44MzMzAE1LuJQX5N4I/ie0oBfk3ggjQ0lRLklRVDQ2MjEwMDMyLklRX0NEU19NSUQuMTIvMDcvMjYBAAAAj1WjAQIAAAAHMzYuNTU3MgBNS7iUF+TeCEyAuaAX5N4II0NJUS5JUVQ0OTc1MTE5Ni5JUV9DRFNfTUlELjEwLzA3LzI2AQAAAM2ZvQACAAAABzQxLjgzMzMATUu4lBfk3gi777ugF+TeCCNDSVEuSVFUNjAzODk1MTYuSVFfQ0RTX01JRC4xMC8wNy8yNgEAAACl8MMBAgAAAAY3LjI0MzMATUu4lBfk3ghIkrygF+TeCCNDSVEuSVFUNDYyMDc3ODkuSVFfQ0RTX01JRC4wNS8wNy8yNgEAAAAqWKMBAgAAAAcyNi42MzgzAE1LuJQX5N4IZRPBoBfk3ggjQ0lRLklR</t>
  </si>
  <si>
    <t>VDQ2MjIzNjQ2LklRX0NEU19NSUQuMDMvMDcvMjYBAAAAG3gEAAIAAAAHNDguMzg0NwBNS7iUF+TeCMSfwqAX5N4IJENJUS5JUVQzMTMzMTQ5NzYuSVFfQ0RTX01JRC4wMy8wNy8yNgEAAABtSgAAAgAAAAI1NgC7wFeUF+TeCP89w6AX5N4II0NJUS5JUVQ0NjIwNDMwMC5JUV9DRFNfTUlELjA4LzA3LzI2AQAAAPYlfQACAAAABjcuMDMxNQBNS7iUF+TeCDPzxKAX5N4IJENJUS5JUVQzMTMzMTAxODQuSVFfQ0RTX01JRC4xNy8wNy8yNQEAAABgRD4AAgAAAAcxNi4yMTI0AE1LuJQX5N4I/z3DoBfk3ggkQ0lRLklRVDMxMzMxMDg1NC5JUV9DRFNfTUlELjE3LzA3LzI1AQAAAK9UDQACAAAABzQwLjk3NjIAu8BXlBfk3gjMKsSgF+TeCCNDSVEuSVFUNDYyMTQ5NTQuSVFfQ0RTX01JRC4xNS8wNy8yNgEAAAA6PTkBAgAAAAcxNC4zMTI1AE1LuJQX5N4Ir8e2oBfk3ggjQ0lRLklRVDQ2MjAzNzE0LklRX0NEU19NSUQuMDYvMDcvMjYBAAAAXwU1AAIAAAAHMjkuMDg2NQBNS7iUF+TeCAxvxqAX5N4IJENJUS5JUVQ1Mjg5MzY4MTIuSVFfQ0RTX01JRC4wNi8wNy8yNgEAAABsWwYAAgAAAAY0Ni4xNzgATUu4lBfk3ghyOMegF+TeCCNDSVEuSVFUNTEwMjM0ODAuSVFfQ0RTX01JRC4wNC8wNy8yNgEAAADCRfEBAgAAAAY0LjcwNTgATUu4lBfk3ghTwcigF+TeCCNDSVEuSVFUNDYyMDQ5NTcuSVFfQ0RTX01JRC4wNC8wNy8y</t>
  </si>
  <si>
    <t>NgEAAAAhFQYAAgAAAAc1My40MjM3AE1LuJQX5N4IsYbJoBfk3ggjQ0lRLklRVDc5NjQwMDI0LklRX0NEU19NSUQuMTcvMDQvMjYBAAAANY+bAQIAAAAGOC45MjI1AE1LuJQX5N4IcjjHoBfk3ggjQ0lRLklRVDQ2MjAzMzMyLklRX0NEU19NSUQuMTQvMDcvMjYBAAAAXx43AAIAAAAHMTEuMTY2NwBNS7iUF+TeCD3tt6AX5N4IJENJUS5JUVQ2NDQ3MDE3OTcuSVFfQ0RTX01JRC4xMi8wNy8yNgEAAABTP30BAgAAAAcxMC41Mzc4AE1LuJQX5N4ITIC5oBfk3ggjQ0lRLklRVDQ2MTk1NDkxLklRX0NEU19NSUQuMDcvMDcvMjYBAAAAaUoAAAIAAAAHNTMuOTIzMwBNS7iUF+TeCBmKv6AX5N4II0NJUS5JUVQ0NjIyNTAwNi5JUV9DRFNfTUlELjAzLzA3LzI2AQAAAPhVDQACAAAABzQxLjIxNTMATUu4lBfk3gjEn8KgF+TeCCNDSVEuSVFUNDYyMjM2NDYuSVFfQ0RTX01JRC4xNy8wNy8yNQEAAAAbeAQAAgAAAAc1MC40NTU2AE1LuJQX5N4IzCrEoBfk3ggjQ0lRLklRVDQ2MjIwODAzLklRX0NEU19NSUQuMTUvMDcvMjYBAAAA1sk2AAIAAAAHNDEuODE1NwBNS7iUF+TeCEMkt6AX5N4II0NJUS5JUVQ0NjIyNTcxNS5JUV9DRFNfTUlELjE0LzA3LzI2AQAAALflBAACAAAABzQzLjE5NzEATUu4lBfk3gg97begF+TeCCNDSVEuSVFUNDYyMDM3MTQuSVFfQ0RTX01JRC4xMS8wNy8yNgEAAABfBTUAAgAAAAczMC43MDM5AE1L</t>
  </si>
  <si>
    <t>uJQX5N4IBkS6oBfk3ggjQ0lRLklRVDQ2MjE1MTExLklRX0NEU19NSUQuMTYvMDcvMjYBAAAAoEuyAQIAAAAHMzcuMDcyOQBNS7iUF+TeCHLdtKAX5N4II0NJUS5JUVQ1MTAyMzI2MC5JUV9DRFNfTUlELjE1LzA3LzI2AQAAALERfwECAAAABjE0LjEyNQBNS7iUF+TeCA8Wt6AX5N4IJENJUS5JUVQyNjMyMTMxMzIuSVFfQ0RTX01JRC4wNC8wNy8yNgEAAADhmggAAgAAAAc1NS4yNzE2AE1LuJQX5N4IsYbJoBfk3ggjQ0lRLklRVDYyMjcwMTA3LklRX0NEU19NSUQuMTQvMDcvMjYBAAAAFVkAAAIAAAAHNDMuNjQzNABNS7iUF+TeCD3tt6AX5N4II0NJUS5JUVQ0NjIwMDM2NC5JUV9DRFNfTUlELjAzLzA3LzI2AQAAAFeGCAACAAAABjI0Ljg3NQBNS7iUF+TeCP89w6AX5N4II0NJUS5JUVQ0NjIxNDk1NC5JUV9DRFNfTUlELjExLzA3LzI2AQAAADo9OQECAAAABjE0LjEyNQBNS7iUF+TeCDH0uqAX5N4II0NJUS5JUVQ0NjIwODYzNC5JUV9DRFNfTUlELjExLzA3LzI2AQAAAAMfwgACAAAABzIyLjEwNjYATUu4lBfk3ggx9LqgF+TeCCNDSVEuSVFUNDYyMjUwODMuSVFfQ0RTX01JRC4xMS8wNy8yNgEAAABWRAYAAgAAAAczNi44NzA1AE1LuJQX5N4Iu++7oBfk3ggjQ0lRLklRVDQ2MjAzNzE0LklRX0NEU19NSUQuMDkvMDcvMjYBAAAAXwU1AAIAAAAHMzAuNjkxNgBNS7iUF+TeCOKavaAX5N4II0NJUS5JUVQ3OTYz</t>
  </si>
  <si>
    <t>OTk1My5JUV9DRFNfTUlELjA5LzA3LzI2AQAAADSbVgECAAAABzI0Ljg1MTkATUu4lBfk3gj6Er6gF+TeCCRDSVEuSVFUNTI4OTM2ODEyLklRX0NEU19NSUQuMDkvMDcvMjYBAAAAbFsGAAIAAAAHNDYuOTIwOQBNS7iUF+TeCPdivqAX5N4II0NJUS5JUVQ3OTY0MDAyNC5JUV9DRFNfTUlELjE2LzA3LzI2AQAAADWPmwECAAAABjcuODk2NwBNS7iUF+TeCHLdtKAX5N4IJENJUS5JUVQzMTMzMDU4NzkuSVFfQ0RTX01JRC4xNi8wNy8yNgEAAACE1twBAwAAAAAATUu4lBfk3ghy3bSgF+TeCCNDSVEuSVFUNDYyMDA0MTIuSVFfQ0RTX01JRC4xNi8wNy8yNgEAAABjQwYAAgAAAAc0NS4zNTU1AE1LuJQX5N4ITjS2oBfk3ggjQ0lRLklRVDQ2MjAzMzMyLklRX0NEU19NSUQuMDgvMDcvMjYBAAAAXx43AAIAAAAHMTEuMDYyNQBNS7iUF+TeCDPzxKAX5N4II0NJUS5JUVQ0NjIxNTExMS5JUV9DRFNfTUlELjA4LzA3LzI2AQAAAKBLsgECAAAABzM3LjI2MDUATUu4lBfk3ggz88SgF+TeCCNDSVEuSVFUNDYyMjYxMzIuSVFfQ0RTX01JRC4wOC8wNy8yNgEAAADdWQAAAgAAAAc0Mi4wNDQxAE1LuJQX5N4IX6nFoBfk3ggkQ0lRLklRVDMxMzMxMzUyNC5JUV9DRFNfTUlELjA4LzA3LzI2AQAAAO9VDQACAAAABjYwLjQ2NQC7wFeUF+TeCF+pxaAX5N4II0NJUS5JUVQ3OTYzOTkxMy5JUV9DRFNfTUlELjE3LzA3LzI1AQAAACBj</t>
  </si>
  <si>
    <t>HAICAAAABjkuNzc1MgBNS7iUF+TeCP89w6AX5N4II0NJUS5JUVQ0NjIwNzg3Mi5JUV9DRFNfTUlELjE3LzA3LzI1AQAAAFgNCgACAAAABzQxLjgyNDMATUu4lBfk3gjMKsSgF+TeCCNDSVEuSVFUNDYyMDAzMTcuSVFfQ0RTX01JRC4xNy8wNy8yNQEAAAD+VA0AAgAAAAc2OS40OTcyALvAV5QX5N4IzCrEoBfk3ggkQ0lRLklRVDY0NDcwMTc5Ny5JUV9DRFNfTUlELjE1LzA3LzI2AQAAAFM/fQECAAAABzEwLjYyMzgATUu4lBfk3givx7agF+TeCCNDSVEuSVFUNDYyMTY5ODYuSVFfQ0RTX01JRC4xNS8wNy8yNgEAAADORDgBAwAAAAAATUu4lBfk3ghDJLegF+TeCCRDSVEuSVFUMjU0OTU1MjMzLklRX0NEU19NSUQuMTUvMDcvMjYBAAAAOVYKAAIAAAAGNDMuMTI1AE1LuJQX5N4IQyS3oBfk3ggjQ0lRLklRVDQ2MTk2MjI1LklRX0NEU19NSUQuMDYvMDcvMjYBAAAAvlWjAQIAAAAGMTcuMzc1AE1LuJQX5N4IX6nFoBfk3ggjQ0lRLklRVDUxMDIzMjYwLklRX0NEU19NSUQuMDYvMDcvMjYBAAAAsRF/AQIAAAAHMTMuNDg2NgBNS7iUF+TeCAxvxqAX5N4II0NJUS5JUVQ0NjIyNDc0MC5JUV9DRFNfTUlELjA2LzA3LzI2AQAAANNyCAACAAAABDMzLjEATUu4lBfk3ghyOMegF+TeCCRDSVEuSVFUMzEzMzE3MzQ0LklRX0NEU19NSUQuMDYvMDcvMjYBAAAA8awBAAIAAAAHNTkuODc1NgC7wFeUF+TeCHI4x6AX5N4II0NJ</t>
  </si>
  <si>
    <t>US5JUVQ0NjIwMDI3Ni5JUV9DRFNfTUlELjA0LzA3LzI2AQAAAJZ3fAECAAAABzI2LjQyMjkATUu4lBfk3ghTwcigF+TeCCNDSVEuSVFUNzk2MzQ5MDEuSVFfQ0RTX01JRC4wNC8wNy8yNgEAAACcBhAAAgAAAAc0My4yMzY5AE1LuJQX5N4ICj3KoBfk3ggjQ0lRLklRVDQ2MjA3NTcxLklRX0NEU19NSUQuMTcvMDQvMjYBAAAAbe81AAIAAAAHMzAuMjU0MQBNS7iUF+TeCHI4x6AX5N4IJENJUS5JUVQyNjMyMTMxMzIuSVFfQ0RTX01JRC4xNy8wNC8yNgEAAADhmggAAgAAAAc2MS43MDYzAE1LuJQX5N4IU8HIoBfk3ggjQ0lRLklRVDQ2MjIyMjkyLklRX0NEU19NSUQuMTQvMDcvMjYBAAAA0ZGbAQIAAAAHNzYxLjY2NABNS7iUF+TeCD3tt6AX5N4II0NJUS5JUVQ0NjIyNTAwNi5JUV9DRFNfTUlELjE0LzA3LzI2AQAAAPhVDQACAAAABzQyLjE2MjEATUu4lBfk3gg97begF+TeCCNDSVEuSVFUNDYyMjAzMjkuSVFfQ0RTX01JRC4xNC8wNy8yNgEAAADbWwAAAgAAAAQ1Ni41ALvAV5QX5N4IPe23oBfk3ggjQ0lRLklRVDQ2MTk3Njk0LklRX0NEU19NSUQuMTMvMDcvMjYBAAAAB/oFAAIAAAAHNTIuMDUyMQBNS7iUF+TeCP4ntKAX5N4II0NJUS5JUVQ2MjI3MDEwNy5JUV9DRFNfTUlELjEzLzA3LzI2AQAAABVZAAACAAAABzQxLjI1MTgATUu4lBfk3ghy3bSgF+TeCCNDSVEuSVFUNDYyMDczMDguSVFfQ0RTX01JRC4x</t>
  </si>
  <si>
    <t>Mi8wNy8yNgEAAAA5iXoBAgAAAAcxNC4zMzMzAE1LuJQX5N4ITIC5oBfk3ggjQ0lRLklRVDQ2MjI1Mzc0LklRX0NEU19NSUQuMTIvMDcvMjYBAAAAtdYFAAIAAAAHMzguMDM0OQBNS7iUF+TeCAZEuqAX5N4IJENJUS5JUVQzMjM2ODAxMzAuSVFfQ0RTX01JRC4xMC8wNy8yNgEAAABx4QIAAgAAAAc1Mi41MzM1AE1LuJQX5N4ISJK8oBfk3ggkQ0lRLklRVDMxMzMxNTQyOS5JUV9DRFNfTUlELjEwLzA3LzI2AQAAADnnBQACAAAABzYyLjEwMDkAu8BXlBfk3ghIkrygF+TeCCNDSVEuSVFUNDYyMDY3NzkuSVFfQ0RTX01JRC4wNy8wNy8yNgEAAAD87zYAAgAAAAcxNS44MzMzAE1LuJQX5N4I92K+oBfk3ggjQ0lRLklRVDQ2MjE4Njc0LklRX0NEU19NSUQuMDcvMDcvMjYBAAAAV8o2AAIAAAAIMTIyLjQxMDEATUu4lBfk3ggZir+gF+TeCCNDSVEuSVFUNDYyMjU3MTUuSVFfQ0RTX01JRC4wNy8wNy8yNgEAAAC35QQAAgAAAAczOS4yNTAxAE1LuJQX5N4IGYq/oBfk3ggjQ0lRLklRVDQ2MjA0ODg0LklRX0NEU19NSUQuMDUvMDcvMjYBAAAAgVHAAQIAAAAGMjguOTk2AE1LuJQX5N4IGYq/oBfk3ggkQ0lRLklRVDI4NjA5NjEzMS5JUV9DRFNfTUlELjA1LzA3LzI2AQAAADvxBAACAAAABzYxLjU0MjkATUu4lBfk3ghlE8GgF+TeCCNDSVEuSVFUNDYyMTA1NjAuSVFfQ0RTX01JRC4wMy8wNy8yNgEAAAD2GjcAAgAAAAc4</t>
  </si>
  <si>
    <t>Ni4zODI0AE1LuJQX5N4ILtjBoBfk3ggjQ0lRLklRVDQ2MjE5OTIyLklRX0NEU19NSUQuMDMvMDcvMjYBAAAA1kc5AQIAAAADNy41AE1LuJQX5N4Iz5vCoBfk3ggjQ0lRLklRVDYwMzg4MDU3LklRX0NEU19NSUQuMDgvMDcvMjYBAAAA38l9AQMAAAAAAE1LuJQX5N4IM/PEoBfk3ggjQ0lRLklRVDQ2MjE0ODc5LklRX0NEU19NSUQuMTcvMDcvMjUBAAAA9Ro3AAIAAAAGNjYuNDU1AE1LuJQX5N4I/z3DoBfk3ggjQ0lRLklRVDQ2NDcwODc3LklRX0NEU19NSUQuMTcvMDcvMjUBAAAAQjcHAAIAAAAHNTcuMDc1MwBNS7iUF+TeCMwqxKAX5N4II0NJUS5JUVQ0NjIwODYzNC5JUV9DRFNfTUlELjE1LzA3LzI2AQAAAAMfwgACAAAABzIyLjY1NjMATUu4lBfk3ghDJLegF+TeCCNDSVEuSVFUNzk2Mzk5NTMuSVFfQ0RTX01JRC4wNi8wNy8yNgEAAAA0m1YBAgAAAAcyNC44NTI1AE1LuJQX5N4IDG/GoBfk3ggjQ0lRLklRVDQ2MTk3MTM4LklRX0NEU19NSUQuMDQvMDcvMjYBAAAA7pQ4AQIAAAAIMTI1LjM2NjcATUu4lBfk3ghTwcigF+TeCCNDSVEuSVFUNjIyNzAxMDYuSVFfQ0RTX01JRC4wNC8wNy8yNgEAAACtd4MAAgAAAAc3NS44NzgyALvAV5QX5N4ICj3KoBfk3ggkQ0lRLklRVDMxMzMwNTg3OS5JUV9DRFNfTUlELjE3LzA0LzI2AQAAAITW3AECAAAABjIuMzMzNABNS7iUF+TeCJYLyKAX5N4II0NJUS5JUVQ0NjIw</t>
  </si>
  <si>
    <t>MDQxMi5JUV9DRFNfTUlELjE3LzA0LzI2AQAAAGNDBgACAAAABzU1Ljc4MDYATUu4lBfk3ghTwcigF+TeCCNDSVEuSVFUNDYyMTUxMTEuSVFfQ0RTX01JRC4xNC8wNy8yNgEAAACgS7IBAgAAAAczNi45NzU5AE1LuJQX5N4IPe23oBfk3ggkQ0lRLklRVDMxMzMxMzUyNC5JUV9DRFNfTUlELjE0LzA3LzI2AQAAAO9VDQACAAAABzYwLjUzODkAu8BXlBfk3gg97begF+TeCCNDSVEuSVFUNzk2Mzk5MTMuSVFfQ0RTX01JRC4xMy8wNy8yNgEAAAAgYxwCAgAAAAY3LjkxMjcATUu4lBfk3gj+J7SgF+TeCCNDSVEuSVFUNDYyMDAzMTcuSVFfQ0RTX01JRC4xMy8wNy8yNgEAAAD+VA0AAgAAAAc2NC41NDQ0ALvAV5QX5N4Ict20oBfk3ggjQ0lRLklRVDQ2MTk2MjI1LklRX0NEU19NSUQuMTAvMDcvMjYBAAAAvlWjAQIAAAAHMTcuNDI3NABNS7iUF+TeCLvvu6AX5N4II0NJUS5JUVQ1MTAyMzI2MC5JUV9DRFNfTUlELjEwLzA3LzI2AQAAALERfwECAAAABzEzLjk0NTkATUu4lBfk3ghIkrygF+TeCCNDSVEuSVFUNDYyMjQ3NDAuSVFfQ0RTX01JRC4xMC8wNy8yNgEAAADTcggAAgAAAAczMy42MDY2AE1LuJQX5N4ISJK8oBfk3ggkQ0lRLklRVDMxMzMxNzM0NC5JUV9DRFNfTUlELjEwLzA3LzI2AQAAAPGsAQACAAAABzYwLjUwMDMAu8BXlBfk3gjimr2gF+TeCCNDSVEuSVFUNDYyMDAyNzYuSVFfQ0RTX01JRC4wNy8wNy8y</t>
  </si>
  <si>
    <t>NgEAAACWd3wBAgAAAAcyOC44NjcxAE1LuJQX5N4I92K+oBfk3ggjQ0lRLklRVDc5NjM0OTAxLklRX0NEU19NSUQuMDcvMDcvMjYBAAAAnAYQAAIAAAAHNDIuODEyNABNS7iUF+TeCBmKv6AX5N4II0NJUS5JUVQ0NjIwNzU3MS5JUV9DRFNfTUlELjA1LzA3LzI2AQAAAG3vNQACAAAABDI4LjUATUu4lBfk3ggZir+gF+TeCCNDSVEuSVFUNDYyMTM0NzIuSVFfQ0RTX01JRC4wNS8wNy8yNgEAAAC5WjgAAgAAAAcxNC45ODk1AE1LuJQX5N4IZRPBoBfk3ggjQ0lRLklRVDQ2MjE5OTIyLklRX0NEU19NSUQuMTcvMDcvMjUBAAAA1kc5AQIAAAAHMTAuMTMwMwBNS7iUF+TeCP89w6AX5N4IJENJUS5JUVQzMTMzMTQ5NzYuSVFfQ0RTX01JRC4xNy8wNy8yNQEAAABtSgAAAgAAAAc0My4wNjA3ALvAV5QX5N4IzCrEoBfk3ggjQ0lRLklRVDQ2MjE4NTE2LklRX0NEU19NSUQuMTUvMDcvMjYBAAAAplWjAQIAAAAHMzUuNjQ3NwBNS7iUF+TeCK/HtqAX5N4II0NJUS5JUVQ0NjIwMDM2NC5JUV9DRFNfTUlELjE1LzA3LzI2AQAAAFeGCAACAAAABTI0Ljg2AE1LuJQX5N4IQyS3oBfk3ggjQ0lRLklRVDQ2MjA0MzAwLklRX0NEU19NSUQuMDYvMDcvMjYBAAAA9iV9AAIAAAAGNy4wMDQxAE1LuJQX5N4IDG/GoBfk3ggjQ0lRLklRVDQ2MTk5ODQxLklRX0NEU19NSUQuMDYvMDcvMjYBAAAA6zAGAAMAAAAAAE1LuJQX5N4IcjjHoBfk</t>
  </si>
  <si>
    <t>3ggjQ0lRLklRVDQ2MjE0ODc5LklRX0NEU19NSUQuMDQvMDcvMjYBAAAA9Ro3AAIAAAAHNTAuNTQ4NgBNS7iUF+TeCLGGyaAX5N4II0NJUS5JUVQ0NjIxNDk1NC5JUV9DRFNfTUlELjE3LzA0LzI2AQAAADo9OQECAAAABDE2LjQATUu4lBfk3ghyOMegF+TeCCNDSVEuSVFUNDYyMjUwODMuSVFfQ0RTX01JRC4xNy8wNC8yNgEAAABWRAYAAgAAAAc0NC43NTkzAE1LuJQX5N4IU8HIoBfk3ggkQ0lRLklRVDUyODkzNjgxMi5JUV9DRFNfTUlELjE0LzA3LzI2AQAAAGxbBgACAAAABzQ3LjQ4OTMATUu4lBfk3gg97begF+TeCCRDSVEuSVFUMjU0OTU1MjMzLklRX0NEU19NSUQuMDUvMDcvMjYBAAAAOVYKAAIAAAAHNDIuOTE0NgBNS7iUF+TeCGUTwaAX5N4II0NJUS5JUVQ1MTAyMzI2MC5JUV9DRFNfTUlELjAzLzA3LzI2AQAAALERfwECAAAABzEzLjQ1ODEATUu4lBfk3gjEn8KgF+TeCCRDSVEuSVFUMzEzMzE3MzQ0LklRX0NEU19NSUQuMDMvMDcvMjYBAAAA8awBAAIAAAAHNTkuNjM1NAC7wFeUF+TeCP89w6AX5N4II0NJUS5JUVQ2MjI3MDEwNi5JUV9DRFNfTUlELjA3LzA3LzI2AQAAAK13gwACAAAABzc1Ljg4MjYAu8BXlBfk3ggZir+gF+TeCCNDSVEuSVFUNDYyMDA0MTIuSVFfQ0RTX01JRC4wNS8wNy8yNgEAAABjQwYAAgAAAAc0Ny43NzI1AE1LuJQX5N4ILtjBoBfk3ggjQ0lRLklRVDQ2MjAzMzMyLklRX0NE</t>
  </si>
  <si>
    <t>U19NSUQuMDMvMDcvMjYBAAAAXx43AAIAAAAGMTEuMzc1AE1LuJQX5N4ILtjBoBfk3ggjQ0lRLklRVDQ2MjI2MTMyLklRX0NEU19NSUQuMDMvMDcvMjYBAAAA3VkAAAIAAAAGNDEuNDg1AE1LuJQX5N4IxJ/CoBfk3ggjQ0lRLklRVDQ2MjI1NzE1LklRX0NEU19NSUQuMTcvMDQvMjYBAAAAt+UEAAIAAAAHNDMuMTY2NwBNS7iUF+TeCFPByKAX5N4II0NJUS5JUVQ0NjIxOTkyMi5JUV9DRFNfTUlELjEzLzA3LzI2AQAAANZHOQECAAAABjYuODI5MwBNS7iUF+TeCP4ntKAX5N4II0NJUS5JUVQ0NjIxODUxNi5JUV9DRFNfTUlELjEyLzA3LzI2AQAAAKZVowECAAAABzM2LjQ2ODIATUu4lBfk3ghMgLmgF+TeCCNDSVEuSVFUNDYyMDAzNjQuSVFfQ0RTX01JRC4xMi8wNy8yNgEAAABXhggAAgAAAAUyNC44NgBNS7iUF+TeCAZEuqAX5N4II0NJUS5JUVQ0NjIwNDMwMC5JUV9DRFNfTUlELjEwLzA3LzI2AQAAAPYlfQACAAAABTcuMDAyAE1LuJQX5N4Iu++7oBfk3ggjQ0lRLklRVDYwMzg4MDU3LklRX0NEU19NSUQuMTAvMDcvMjYBAAAA38l9AQMAAAAAAE1LuJQX5N4ISJK8oBfk3ggjQ0lRLklRVDQ2MTk5ODQxLklRX0NEU19NSUQuMTAvMDcvMjYBAAAA6zAGAAMAAAAAAE1LuJQX5N4ISJK8oBfk3ggjQ0lRLklRVDQ2MjE0ODc5LklRX0NEU19NSUQuMDcvMDcvMjYBAAAA9Ro3AAIAAAAHNTAuNTYxOQBNS7iUF+TeCPdi</t>
  </si>
  <si>
    <t>vqAX5N4II0NJUS5JUVQ0NjQ3MDg3Ny5JUV9DRFNfTUlELjA3LzA3LzI2AQAAAEI3BwACAAAABzU0LjIzNTMATUu4lBfk3ggZir+gF+TeCCRDSVEuSVFUMzEzMzEwODU0LklRX0NEU19NSUQuMDcvMDcvMjYBAAAAr1QNAAIAAAAHNjEuMzMzMwC7wFeUF+TeCBmKv6AX5N4II0NJUS5JUVQ0NjIyNTA4My5JUV9DRFNfTUlELjA1LzA3LzI2AQAAAFZEBgACAAAABTM3LjI1AE1LuJQX5N4ILtjBoBfk3ggkQ0lRLklRVDUyODkzNjgxMi5JUV9DRFNfTUlELjAzLzA3LzI2AQAAAGxbBgACAAAABzQ2LjYzNjMATUu4lBfk3gjEn8KgF+TeCCRDSVEuSVFUNTI4OTM2ODEyLklRX0NEU19NSUQuMTMvMDcvMjYBAAAAbFsGAAIAAAAHNDYuODY0MwBNS7iUF+TeCP4ntKAX5N4IJENJUS5JUVQzMTMzMDU4NzkuSVFfQ0RTX01JRC4xMC8wNy8yNgEAAACE1twBAwAAAAAATUu4lBfk3ghIkrygF+TeCCNDSVEuSVFUNDYyMDc4NzIuSVFfQ0RTX01JRC4wNS8wNy8yNgEAAABYDQoAAgAAAAc0MC4wMDQyAE1LuJQX5N4IZRPBoBfk3ggjQ0lRLklRVDQ2MjE2OTg2LklRX0NEU19NSUQuMDMvMDcvMjYBAAAAzkQ4AQMAAAAAAE1LuJQX5N4IxJ/CoBfk3ggkQ0lRLklRVDMyMzY4MDEzMC5JUV9DRFNfTUlELjE3LzA0LzI2AQAAAHHhAgACAAAABzU0Ljc2NjEATUu4lBfk3giWC8igF+TeCCNDSVEuSVFUNDYyMDY3NzkuSVFfQ0RTX01JRC4x</t>
  </si>
  <si>
    <t>NC8wNy8yNgEAAAD87zYAAgAAAAQxNi41AE1LuJQX5N4IPe23oBfk3ggjQ0lRLklRVDQ2MjE4NTE2LklRX0NEU19NSUQuMTAvMDcvMjYBAAAAplWjAQIAAAAHMzYuNDY4MgBNS7iUF+TeCEiSvKAX5N4IJENJUS5JUVQzMTMzMTA4NTQuSVFfQ0RTX01JRC4wNS8wNy8yNgEAAACvVA0AAgAAAAc2MS4zMzMzALvAV5QX5N4ILtjBoBfk3ggjQ0lRLklRVDQ2MjI1MDgzLklRX0NEU19NSUQuMDMvMDcvMjYBAAAAVkQGAAIAAAAFMzcuMjUATUu4lBfk3gj/PcOgF+TeCCNDSVEuSVFUNDYyMDMzMzIuSVFfQ0RTX01JRC4xNi8wNy8yNgEAAABfHjcAAgAAAAcxMS4zOTM4AE1LuJQX5N4Ict20oBfk3ggjQ0lRLklRVDQ2MjI2MTMyLklRX0NEU19NSUQuMTYvMDcvMjYBAAAA3VkAAAIAAAAHNDMuMTQyMgBNS7iUF+TeCHLdtKAX5N4II0NJUS5JUVQ0NjIwMDMxNy5JUV9DRFNfTUlELjA4LzA3LzI2AQAAAP5UDQACAAAABzY0Ljc0NjgAu8BXlBfk3ghfqcWgF+TeCCNDSVEuSVFUNDYxOTYyMjUuSVFfQ0RTX01JRC4xNS8wNy8yNgEAAAC+VaMBAgAAAAYxNy4zNzUATUu4lBfk3gjmoLagF+TeCCNDSVEuSVFUNDYyMjQ3NDAuSVFfQ0RTX01JRC4xNS8wNy8yNgEAAADTcggAAgAAAAczNC40MzQ2AE1LuJQX5N4IQyS3oBfk3ggjQ0lRLklRVDQ2MjAwMjc2LklRX0NEU19NSUQuMDYvMDcvMjYBAAAAlnd8AQIAAAAHMjguNTA5MQBN</t>
  </si>
  <si>
    <t>S7iUF+TeCAxvxqAX5N4II0NJUS5JUVQ0NjIxMzQ3Mi5JUV9DRFNfTUlELjA0LzA3LzI2AQAAALlaOAACAAAABzE0Ljk4OTUATUu4lBfk3gixhsmgF+TeCCNDSVEuSVFUNDYxOTQ5OTUuSVFfQ0RTX01JRC4xNy8wNC8yNgEAAABuEDEAAgAAAAcxMy40MTg3AE1LuJQX5N4IcjjHoBfk3ggjQ0lRLklRVDQ2MTk3Njk0LklRX0NEU19NSUQuMTQvMDcvMjYBAAAAB/oFAAIAAAAHNTIuODAxNgBNS7iUF+TeCD3tt6AX5N4II0NJUS5JUVQ0OTc1MTE5Ni5JUV9DRFNfTUlELjEyLzA3LzI2AQAAAM2ZvQACAAAABzQxLjgzMzMATUu4lBfk3gg97begF+TeCCNDSVEuSVFUNDYyMDY3NzkuSVFfQ0RTX01JRC4xMC8wNy8yNgEAAAD87zYAAgAAAAcxNi4xNjY3AE1LuJQX5N4ISJK8oBfk3ggkQ0lRLklRVDI4NjA5NjEzMS5JUV9DRFNfTUlELjA3LzA3LzI2AQAAADvxBAACAAAABzYxLjIxOTgATUu4lBfk3ggZir+gF+TeCCNDSVEuSVFUNDYyMTg1MTYuSVFfQ0RTX01JRC4xMS8wNy8yNgEAAACmVaMBAgAAAAczNi40NjgyAE1LuJQX5N4IMfS6oBfk3ggjQ0lRLklRVDQ2MjIwODAzLklRX0NEU19NSUQuMTEvMDcvMjYBAAAA1sk2AAIAAAAHNDEuMTA2NABNS7iUF+TeCDH0uqAX5N4II0NJUS5JUVQ0NjIwMDM2NC5JUV9DRFNfTUlELjExLzA3LzI2AQAAAFeGCAACAAAABTI0Ljg2AE1LuJQX5N4Iu++7oBfk3ggjQ0lRLklRVDQ2</t>
  </si>
  <si>
    <t>MjA0MzAwLklRX0NEU19NSUQuMDkvMDcvMjYBAAAA9iV9AAIAAAAGNy4wMDc5AE1LuJQX5N4I4pq9oBfk3ggjQ0lRLklRVDYwMzg4MDU3LklRX0NEU19NSUQuMDkvMDcvMjYBAAAA38l9AQMAAAAAAE1LuJQX5N4I+hK+oBfk3ggjQ0lRLklRVDQ2MTk5ODQxLklRX0NEU19NSUQuMDkvMDcvMjYBAAAA6zAGAAMAAAAAAE1LuJQX5N4I92K+oBfk3ggjQ0lRLklRVDQ2MjE0OTU0LklRX0NEU19NSUQuMTYvMDcvMjYBAAAAOj05AQIAAAAGMTQuMzc1AE1LuJQX5N4Ict20oBfk3ggjQ0lRLklRVDQ2MjA4NjM0LklRX0NEU19NSUQuMTYvMDcvMjYBAAAAAx/CAAIAAAAHMjIuNDE4MwBNS7iUF+TeCHLdtKAX5N4II0NJUS5JUVQ0NjIyNTA4My5JUV9DRFNfTUlELjE2LzA3LzI2AQAAAFZEBgACAAAABDM3LjEATUu4lBfk3ghONLagF+TeCCNDSVEuSVFUNDYyMDM3MTQuSVFfQ0RTX01JRC4wOC8wNy8yNgEAAABfBTUAAgAAAAczMC43Mjc3AE1LuJQX5N4IM/PEoBfk3ggjQ0lRLklRVDc5NjM5OTUzLklRX0NEU19NSUQuMDgvMDcvMjYBAAAANJtWAQIAAAAHMjQuODYyMgBNS7iUF+TeCDPzxKAX5N4IJENJUS5JUVQ1Mjg5MzY4MTIuSVFfQ0RTX01JRC4wOC8wNy8yNgEAAABsWwYAAgAAAAc0Ny4wMzE5AE1LuJQX5N4IX6nFoBfk3ggjQ0lRLklRVDQ2MTk3MTM4LklRX0NEU19NSUQuMTcvMDcvMjUBAAAA7pQ4AQIAAAAIMTQ3</t>
  </si>
  <si>
    <t>LjMzNTcATUu4lBfk3gj/PcOgF+TeCCNDSVEuSVFUNTEwMjM0ODAuSVFfQ0RTX01JRC4xNy8wNy8yNQEAAADCRfEBAgAAAAU4LjQ2NABNS7iUF+TeCP89w6AX5N4II0NJUS5JUVQ0NjIwNDk1Ny5JUV9DRFNfTUlELjE3LzA3LzI1AQAAACEVBgACAAAABzU4LjI3MTIATUu4lBfk3gjMKsSgF+TeCCNDSVEuSVFUNjIyNzAxMDYuSVFfQ0RTX01JRC4xNy8wNy8yNQEAAACtd4MAAgAAAAc3OC42NzE3ALvAV5QX5N4IzCrEoBfk3ggjQ0lRLklRVDc5NjQwMDI0LklRX0NEU19NSUQuMTUvMDcvMjYBAAAANY+bAQIAAAAFNy44NzUATUu4lBfk3givx7agF+TeCCRDSVEuSVFUMzEzMzA1ODc5LklRX0NEU19NSUQuMTUvMDcvMjYBAAAAhNbcAQMAAAAAAE1LuJQX5N4IQyS3oBfk3ggjQ0lRLklRVDQ2MjAwNDEyLklRX0NEU19NSUQuMTUvMDcvMjYBAAAAY0MGAAIAAAAHNDYuMTUwOABNS7iUF+TeCEMkt6AX5N4II0NJUS5JUVQ0NjIwMzMzMi5JUV9DRFNfTUlELjA2LzA3LzI2AQAAAF8eNwACAAAABjExLjM3NQBNS7iUF+TeCAxvxqAX5N4II0NJUS5JUVQ0NjIxNTExMS5JUV9DRFNfTUlELjA2LzA3LzI2AQAAAKBLsgECAAAABzM2LjkzNzQATUu4lBfk3ggMb8agF+TeCCNDSVEuSVFUNDYyMjYxMzIuSVFfQ0RTX01JRC4wNi8wNy8yNgEAAADdWQAAAgAAAAc0MS4zMzMzAE1LuJQX5N4IcjjHoBfk3ggkQ0lRLklRVDMxMzMx</t>
  </si>
  <si>
    <t>MzUyNC5JUV9DRFNfTUlELjA2LzA3LzI2AQAAAO9VDQACAAAABzYwLjAyMDYAu8BXlBfk3ghyOMegF+TeCCNDSVEuSVFUNzk2Mzk5MTMuSVFfQ0RTX01JRC4wNC8wNy8yNgEAAAAgYxwCAgAAAAU4LjEyNQBNS7iUF+TeCFPByKAX5N4II0NJUS5JUVQ0NjIwNzg3Mi5JUV9DRFNfTUlELjA0LzA3LzI2AQAAAFgNCgACAAAABzQwLjAwNDIATUu4lBfk3gixhsmgF+TeCCNDSVEuSVFUNDYyMDAzMTcuSVFfQ0RTX01JRC4wNC8wNy8yNgEAAAD+VA0AAgAAAAc2NC44MzQ3ALvAV5QX5N4ICj3KoBfk3ggkQ0lRLklRVDY0NDcwMTc5Ny5JUV9DRFNfTUlELjE3LzA0LzI2AQAAAFM/fQECAAAABzEwLjE2OTMATUu4lBfk3ghyOMegF+TeCCNDSVEuSVFUNDYyMTY5ODYuSVFfQ0RTX01JRC4xNy8wNC8yNgEAAADORDgBAwAAAAAATUu4lBfk3giWC8igF+TeCCRDSVEuSVFUMjU0OTU1MjMzLklRX0NEU19NSUQuMTcvMDQvMjYBAAAAOVYKAAIAAAAHNTQuMjAxNwBNS7iUF+TeCFPByKAX5N4II0NJUS5JUVQ0NjE5NjIyNS5JUV9DRFNfTUlELjE0LzA3LzI2AQAAAL5VowECAAAABjE3LjM3NQBNS7iUF+TeCD3tt6AX5N4II0NJUS5JUVQ1MTAyMzI2MC5JUV9DRFNfTUlELjE0LzA3LzI2AQAAALERfwECAAAAAjE0AE1LuJQX5N4IPe23oBfk3ggjQ0lRLklRVDQ2MjI0NzQwLklRX0NEU19NSUQuMTQvMDcvMjYBAAAA03IIAAIAAAAE</t>
  </si>
  <si>
    <t>MzQuMQBNS7iUF+TeCD3tt6AX5N4IJENJUS5JUVQzMTMzMTczNDQuSVFfQ0RTX01JRC4xNC8wNy8yNgEAAADxrAEAAgAAAAY2MC41MDYAu8BXlBfk3gg97begF+TeCCNDSVEuSVFUNDYyMDAyNzYuSVFfQ0RTX01JRC4xMy8wNy8yNgEAAACWd3wBAgAAAAcyOC45NjkzAE1LuJQX5N4I/ie0oBfk3ggjQ0lRLklRVDQ2MTk1NDkxLklRX0NEU19NSUQuMTMvMDcvMjYBAAAAaUoAAAIAAAAHNTQuMjI2NQBNS7iUF+TeCP4ntKAX5N4II0NJUS5JUVQ3OTYzNDkwMS5JUV9DRFNfTUlELjEzLzA3LzI2AQAAAJwGEAACAAAABzQxLjE0ODEATUu4lBfk3ghy3bSgF+TeCCNDSVEuSVFUNDYyMDc1NzEuSVFfQ0RTX01JRC4xMi8wNy8yNgEAAABt7zUAAgAAAAYyOS4zMDUATUu4lBfk3ghMgLmgF+TeCCNDSVEuSVFUNDYyMTM0NzIuSVFfQ0RTX01JRC4xMi8wNy8yNgEAAAC5WjgAAgAAAAcxNS4wMDA1AE1LuJQX5N4ITIC5oBfk3ggkQ0lRLklRVDI2MzIxMzEzMi5JUV9DRFNfTUlELjEyLzA3LzI2AQAAAOGaCAACAAAABzU0Ljk5NDQATUu4lBfk3ggGRLqgF+TeCCNDSVEuSVFUNDYxOTQ5OTUuSVFfQ0RTX01JRC4xMC8wNy8yNgEAAABuEDEAAgAAAAYxMC45OTkATUu4lBfk3gi777ugF+TeCCNDSVEuSVFUNDYyMjIyOTIuSVFfQ0RTX01JRC4xMC8wNy8yNgEAAADRkZsBAgAAAAg3NTkuODU1NwBNS7iUF+TeCEiSvKAX5N4II0NJ</t>
  </si>
  <si>
    <t>US5JUVQ0NjIyNTAwNi5JUV9DRFNfTUlELjEwLzA3LzI2AQAAAPhVDQACAAAABzQxLjQxOTEATUu4lBfk3ghIkrygF+TeCCNDSVEuSVFUNDYyMjAzMjkuSVFfQ0RTX01JRC4xMC8wNy8yNgEAAADbWwAAAgAAAAQ1Ni41ALvAV5QX5N4I4pq9oBfk3ggjQ0lRLklRVDQ2MjYyMzc4LklRX0NEU19NSUQuMDcvMDcvMjYBAAAAQNKJAQIAAAAFMTcuNzUATUu4lBfk3gj3Yr6gF+TeCCNDSVEuSVFUNDYxOTc2OTQuSVFfQ0RTX01JRC4wNy8wNy8yNgEAAAAH+gUAAgAAAAc1MS4yNzMyAE1LuJQX5N4IGYq/oBfk3ggjQ0lRLklRVDYyMjcwMTA3LklRX0NEU19NSUQuMDcvMDcvMjYBAAAAFVkAAAIAAAAHNDEuNTAxMQBNS7iUF+TeCBmKv6AX5N4II0NJUS5JUVQ0NjIwNzMwOC5JUV9DRFNfTUlELjA1LzA3LzI2AQAAADmJegECAAAABjE0LjEyNQBNS7iUF+TeCBmKv6AX5N4II0NJUS5JUVQ0NjIxMDAzMi5JUV9DRFNfTUlELjA1LzA3LzI2AQAAAI9VowECAAAABzM3LjQxMjUATUu4lBfk3ghlE8GgF+TeCCNDSVEuSVFUNDYyMjUzNzQuSVFfQ0RTX01JRC4wNS8wNy8yNgEAAAC11gUAAgAAAAQzOC4xAE1LuJQX5N4IZRPBoBfk3ggjQ0lRLklRVDQ5NzUxMTk2LklRX0NEU19NSUQuMDMvMDcvMjYBAAAAzZm9AAIAAAAHNDIuMDcxNQBNS7iUF+TeCC7YwaAX5N4II0NJUS5JUVQ2MDM4OTUxNi5JUV9DRFNfTUlELjAzLzA3LzI2</t>
  </si>
  <si>
    <t>AQAAAKXwwwECAAAABjcuMjQxMQBNS7iUF+TeCMSfwqAX5N4IJENJUS5JUVQzMjM2ODAxMzAuSVFfQ0RTX01JRC4wMy8wNy8yNgEAAABx4QIAAgAAAAc1MS40OTQ5AE1LuJQX5N4IxJ/CoBfk3ggkQ0lRLklRVDMxMzMxNTQyOS5JUV9DRFNfTUlELjAzLzA3LzI2AQAAADnnBQACAAAABzYxLjE3MzQAu8BXlBfk3gj/PcOgF+TeCCNDSVEuSVFUNDYyMDQ4ODQuSVFfQ0RTX01JRC4wOS8wNy8yNgEAAACBUcABAgAAAAcyOS40NDg0AE1LuJQX5N4I4pq9oBfk3ggjQ0lRLklRVDQ2MjA3Nzg5LklRX0NEU19NSUQuMDkvMDcvMjYBAAAAKlijAQIAAAAHMjYuNTgzMwBNS7iUF+TeCPoSvqAX5N4IJENJUS5JUVQyODYwOTYxMzEuSVFfQ0RTX01JRC4wOS8wNy8yNgEAAAA78QQAAgAAAAc2MC44Mzc3AE1LuJQX5N4I92K+oBfk3ggjQ0lRLklRVDQ2MjE4NTE2LklRX0NEU19NSUQuMTYvMDcvMjYBAAAAplWjAQIAAAAHMzYuMDU0NQBNS7iUF+TeCHLdtKAX5N4II0NJUS5JUVQ0NjIyMDgwMy5JUV9DRFNfTUlELjE2LzA3LzI2AQAAANbJNgACAAAABzQxLjgxMjUATUu4lBfk3ghy3bSgF+TeCCNDSVEuSVFUNDYyMDAzNjQuSVFfQ0RTX01JRC4xNi8wNy8yNgEAAABXhggAAgAAAAIyNQBNS7iUF+TeCE40tqAX5N4II0NJUS5JUVQ0NjE5OTg0MS5JUV9DRFNfTUlELjA4LzA3LzI2AQAAAOswBgADAAAAAABNS7iUF+TeCF+pxaAX</t>
  </si>
  <si>
    <t>5N4II0NJUS5JUVQ0NjIyNTA4My5JUV9DRFNfTUlELjE1LzA3LzI2AQAAAFZEBgACAAAABDM3LjUATUu4lBfk3ghDJLegF+TeCCNDSVEuSVFUNDYyMjYxMzIuSVFfQ0RTX01JRC4xNC8wNy8yNgEAAADdWQAAAgAAAAQ0Mi40AE1LuJQX5N4IPe23oBfk3ggjQ0lRLklRVDQ2MjA3ODcyLklRX0NEU19NSUQuMTMvMDcvMjYBAAAAWA0KAAIAAAAHNDAuMDQ2OABNS7iUF+TeCP4ntKAX5N4II0NJUS5JUVQ0NjIxNjk4Ni5JUV9DRFNfTUlELjEyLzA3LzI2AQAAAM5EOAEDAAAAAABNS7iUF+TeCEyAuaAX5N4IJENJUS5JUVQyNTQ5NTUyMzMuSVFfQ0RTX01JRC4xMi8wNy8yNgEAAAA5VgoAAgAAAAc0Mi43MDE0AE1LuJQX5N4IBkS6oBfk3ggkQ0lRLklRVDI2MzIxMzEzMi5JUV9DRFNfTUlELjA1LzA3LzI2AQAAAOGaCAACAAAABzU1LjI3MTYATUu4lBfk3ghlE8GgF+TeCCNDSVEuSVFUNDYxOTQ5OTUuSVFfQ0RTX01JRC4wMy8wNy8yNgEAAABuEDEAAgAAAAIxMQBNS7iUF+TeCC7YwaAX5N4II0NJUS5JUVQ0NjIyMjI5Mi5JUV9DRFNfTUlELjAzLzA3LzI2AQAAANGRmwECAAAACDc1OC44MzI2AE1LuJQX5N4IxJ/CoBfk3ggjQ0lRLklRVDQ2MjIwMzI5LklRX0NEU19NSUQuMDMvMDcvMjYBAAAA21sAAAIAAAACNTYAu8BXlBfk3gj/PcOgF+TeCCNDSVEuSVFUNDYyMTA1NjAuSVFfQ0RTX01JRC4xNy8wNy8yNQEAAAD2</t>
  </si>
  <si>
    <t>GjcAAgAAAAgxMDkuOTk3OABNS7iUF+TeCP89w6AX5N4II0NJUS5JUVQ2MDM4ODA1Ny5JUV9DRFNfTUlELjA2LzA3LzI2AQAAAN/JfQEDAAAAAABNS7iUF+TeCAxvxqAX5N4IJENJUS5JUVQzMTMzMTAxODQuSVFfQ0RTX01JRC4wNC8wNy8yNgEAAABgRD4AAgAAAAYxMS4zNDgATUu4lBfk3ghTwcigF+TeCCNDSVEuSVFUNDY0NzA4NzcuSVFfQ0RTX01JRC4wNC8wNy8yNgEAAABCNwcAAgAAAAc1NS4wODM5AE1LuJQX5N4IsYbJoBfk3ggkQ0lRLklRVDMxMzMxMDg1NC5JUV9DRFNfTUlELjA0LzA3LzI2AQAAAK9UDQACAAAABzYxLjMzMzMAu8BXlBfk3ggKPcqgF+TeCCNDSVEuSVFUNDYyMDg2MzQuSVFfQ0RTX01JRC4xNy8wNC8yNgEAAAADH8IAAgAAAAcyOS4zNzY3AE1LuJQX5N4IlgvIoBfk3ggjQ0lRLklRVDQ2MjAzNzE0LklRX0NEU19NSUQuMTQvMDcvMjYBAAAAXwU1AAIAAAAHMzEuMjIyNABNS7iUF+TeCD3tt6AX5N4II0NJUS5JUVQ3OTYzOTk1My5JUV9DRFNfTUlELjE0LzA3LzI2AQAAADSbVgECAAAABzI0Ljg3NzIATUu4lBfk3gg97begF+TeCCNDSVEuSVFUNTEwMjM0ODAuSVFfQ0RTX01JRC4xMy8wNy8yNgEAAADCRfEBAgAAAAY0LjQ5NTgATUu4lBfk3gj+J7SgF+TeCCNDSVEuSVFUNDYyMDQ5NTcuSVFfQ0RTX01JRC4xMy8wNy8yNgEAAAAhFQYAAgAAAAc1NC4xMjYyAE1LuJQX5N4I/ie0oBfk</t>
  </si>
  <si>
    <t>3ggjQ0lRLklRVDYyMjcwMTA2LklRX0NEU19NSUQuMTMvMDcvMjYBAAAArXeDAAIAAAAHNzUuMjEzOAC7wFeUF+TeCHLdtKAX5N4II0NJUS5JUVQ3OTY0MDAyNC5JUV9DRFNfTUlELjEyLzA3LzI2AQAAADWPmwECAAAABjcuNjcxOQBNS7iUF+TeCEyAuaAX5N4IJENJUS5JUVQzMTMzMDU4NzkuSVFfQ0RTX01JRC4xMi8wNy8yNgEAAACE1twBAwAAAAAATUu4lBfk3ghMgLmgF+TeCCNDSVEuSVFUNDYyMDA0MTIuSVFfQ0RTX01JRC4xMi8wNy8yNgEAAABjQwYAAgAAAAc0NS44NTYxAE1LuJQX5N4IBkS6oBfk3ggjQ0lRLklRVDQ2MjAzMzMyLklRX0NEU19NSUQuMTAvMDcvMjYBAAAAXx43AAIAAAAFMTEuMjUATUu4lBfk3gi777ugF+TeCCNDSVEuSVFUNDYyMTUxMTEuSVFfQ0RTX01JRC4xMC8wNy8yNgEAAACgS7IBAgAAAAczNi42OTU0AE1LuJQX5N4ISJK8oBfk3ggjQ0lRLklRVDQ2MjI2MTMyLklRX0NEU19NSUQuMTAvMDcvMjYBAAAA3VkAAAIAAAAHNDEuNjc3NgBNS7iUF+TeCEiSvKAX5N4IJENJUS5JUVQzMTMzMTM1MjQuSVFfQ0RTX01JRC4xMC8wNy8yNgEAAADvVQ0AAgAAAAc2MC41MTQ5ALvAV5QX5N4I4pq9oBfk3ggjQ0lRLklRVDc5NjM5OTEzLklRX0NEU19NSUQuMDcvMDcvMjYBAAAAIGMcAgIAAAAGNy44MzMzAE1LuJQX5N4I92K+oBfk3ggjQ0lRLklRVDQ2MjA3ODcyLklRX0NEU19NSUQuMDcv</t>
  </si>
  <si>
    <t>MDcvMjYBAAAAWA0KAAIAAAAHMzkuNzk2NABNS7iUF+TeCBmKv6AX5N4II0NJUS5JUVQ0NjIwMDMxNy5JUV9DRFNfTUlELjA3LzA3LzI2AQAAAP5UDQACAAAABzY1LjM1NTYAu8BXlBfk3ggZir+gF+TeCCRDSVEuSVFUNjQ0NzAxNzk3LklRX0NEU19NSUQuMDUvMDcvMjYBAAAAUz99AQIAAAAHMTAuMDE4OABNS7iUF+TeCBmKv6AX5N4II0NJUS5JUVQ0NjIxNjk4Ni5JUV9DRFNfTUlELjA1LzA3LzI2AQAAAM5EOAEDAAAAAABNS7iUF+TeCGUTwaAX5N4II0NJUS5JUVQ0NjE5NjIyNS5JUV9DRFNfTUlELjAzLzA3LzI2AQAAAL5VowECAAAABjE3LjM3NQBNS7iUF+TeCC7YwaAX5N4II0NJUS5JUVQ0NjIyNDc0MC5JUV9DRFNfTUlELjAzLzA3LzI2AQAAANNyCAACAAAABzMzLjY3NjcATUu4lBfk3gjEn8KgF+TeCCNDSVEuSVFUNDYyMDQ5NTcuSVFfQ0RTX01JRC4wNy8wNy8yNgEAAAAhFQYAAgAAAAc1My4wMTA0AE1LuJQX5N4IGYq/oBfk3ggjQ0lRLklRVDc5NjM5OTEzLklRX0NEU19NSUQuMTIvMDcvMjYBAAAAIGMcAgIAAAAGNy45MTYzAE1LuJQX5N4ITIC5oBfk3ggjQ0lRLklRVDc5NjM0OTAxLklRX0NEU19NSUQuMDUvMDcvMjYBAAAAnAYQAAIAAAAHNDMuMjM2OQBNS7iUF+TeCC7YwaAX5N4II0NJUS5JUVQ1MTAyMzQ4MC5JUV9DRFNfTUlELjEyLzA3LzI2AQAAAMJF8QECAAAABjQuNDk5NgBNS7iUF+Te</t>
  </si>
  <si>
    <t>CEyAuaAX5N4II0NJUS5JUVQ3OTY0MDAyNC5JUV9DRFNfTUlELjEwLzA3LzI2AQAAADWPmwECAAAABjcuNjcxOQBNS7iUF+TeCLvvu6AX5N4II0NJUS5JUVQ0NjIwMzMzMi5JUV9DRFNfTUlELjA3LzA3LzI2AQAAAF8eNwACAAAAAjExAE1LuJQX5N4I92K+oBfk3ggjQ0lRLklRVDQ2MjI2MTMyLklRX0NEU19NSUQuMDcvMDcvMjYBAAAA3VkAAAIAAAAHNDEuNDI4NgBNS7iUF+TeCBmKv6AX5N4II0NJUS5JUVQ0NjIwMDMxNy5JUV9DRFNfTUlELjA1LzA3LzI2AQAAAP5UDQACAAAABzY0LjgzNDcAu8BXlBfk3ggu2MGgF+TeCCNDSVEuSVFUNDYyMDczMDguSVFfQ0RTX01JRC4wNC8wNy8yNgEAAAA5iXoBAgAAAAYxNC4xMjUATUu4lBfk3ghTwcigF+TeCCRDSVEuSVFUMjg2MDk2MTMxLklRX0NEU19NSUQuMTMvMDcvMjYBAAAAO/EEAAIAAAAHNjAuNzAzMwBNS7iUF+TeCHLdtKAX5N4II0NJUS5JUVQ0NjIwMDM2NC5JUV9DRFNfTUlELjEwLzA3LzI2AQAAAFeGCAACAAAABTI0Ljg2AE1LuJQX5N4ISJK8oBfk3ggjQ0lRLklRVDQ2MjA0MzAwLklRX0NEU19NSUQuMDcvMDcvMjYBAAAA9iV9AAIAAAAFNy4xMjYATUu4lBfk3gj3Yr6gF+TeCCRDSVEuSVFUMzEzMzEwMTg0LklRX0NEU19NSUQuMDUvMDcvMjYBAAAAYEQ+AAIAAAAGMTEuMzQ4AE1LuJQX5N4IGYq/oBfk3ggjQ0lRLklRVDQ2MjE0OTU0LklRX0NEU19N</t>
  </si>
  <si>
    <t>SUQuMDMvMDcvMjYBAAAAOj05AQIAAAAHMTQuMzMzMwBNS7iUF+TeCC7YwaAX5N4II0NJUS5JUVQ3OTYzOTk1My5JUV9DRFNfTUlELjExLzA3LzI2AQAAADSbVgECAAAABzI0LjkxOTEATUu4lBfk3ggx9LqgF+TeCCNDSVEuSVFUNDYyMDc4NzIuSVFfQ0RTX01JRC4wOC8wNy8yNgEAAABYDQoAAgAAAAczOS43NjQxAE1LuJQX5N4IX6nFoBfk3ggkQ0lRLklRVDMxMzMxNzM0NC5JUV9DRFNfTUlELjE1LzA3LzI2AQAAAPGsAQACAAAABzYwLjUyMDYAu8BXlBfk3ghDJLegF+TeCCNDSVEuSVFUNDYyMDc1NzEuSVFfQ0RTX01JRC4wNC8wNy8yNgEAAABt7zUAAgAAAAQyOC41AE1LuJQX5N4IU8HIoBfk3ggjQ0lRLklRVDQ2MjIwMzI5LklRX0NEU19NSUQuMTcvMDQvMjYBAAAA21sAAAIAAAAHNTMuNTQwMgC7wFeUF+TeCFPByKAX5N4II0NJUS5JUVQ0NjIxMDAzMi5JUV9DRFNfTUlELjEzLzA3LzI2AQAAAI9VowECAAAABzM2Ljg4NzMATUu4lBfk3gj+J7SgF+TeCCNDSVEuSVFUNDYyMDQ4ODQuSVFfQ0RTX01JRC4wNy8wNy8yNgEAAACBUcABAgAAAAUyOC40NQBNS7iUF+TeCPdivqAX5N4II0NJUS5JUVQ0NjIxODUxNi5JUV9DRFNfTUlELjAzLzA3LzI2AQAAAKZVowECAAAABzM3LjU1MTcATUu4lBfk3ggu2MGgF+TeCCNDSVEuSVFUNDYyMDY3NzkuSVFfQ0RTX01JRC4xMS8wNy8yNgEAAAD87zYAAgAAAAcxNi4x</t>
  </si>
  <si>
    <t>NjY3AE1LuJQX5N4IMfS6oBfk3ggjQ0lRLklRVDQ2MjE4Njc0LklRX0NEU19NSUQuMTEvMDcvMjYBAAAAV8o2AAIAAAAIMTIzLjMzNzgATUu4lBfk3ggx9LqgF+TeCCNDSVEuSVFUNDYyMjU3MTUuSVFfQ0RTX01JRC4xMS8wNy8yNgEAAAC35QQAAgAAAAc0MC4yNzY2AE1LuJQX5N4Iu++7oBfk3ggjQ0lRLklRVDQ2MjYyMzc4LklRX0NEU19NSUQuMTEvMDcvMjYBAAAAQNKJAQIAAAAHMTcuODMzMwBNS7iUF+TeCDH0uqAX5N4II0NJUS5JUVQ0NjE5NzY5NC5JUV9DRFNfTUlELjExLzA3LzI2AQAAAAf6BQACAAAABzUxLjY1NjMATUu4lBfk3ggx9LqgF+TeCCNDSVEuSVFUNjIyNzAxMDcuSVFfQ0RTX01JRC4xMS8wNy8yNgEAAAAVWQAAAgAAAAc0MS41MjI2AE1LuJQX5N4Iu++7oBfk3ggjQ0lRLklRVDQ2MjA3MzA4LklRX0NEU19NSUQuMDkvMDcvMjYBAAAAOYl6AQIAAAAHMTQuMzMzMwBNS7iUF+TeCOKavaAX5N4II0NJUS5JUVQ0NjIxMDAzMi5JUV9DRFNfTUlELjA5LzA3LzI2AQAAAI9VowECAAAABzM2Ljk2NzgATUu4lBfk3gj6Er6gF+TeCCNDSVEuSVFUNDYyMjUzNzQuSVFfQ0RTX01JRC4wOS8wNy8yNgEAAAC11gUAAgAAAAczOC4yODU0AE1LuJQX5N4I92K+oBfk3ggjQ0lRLklRVDQ2MjA2Nzc5LklRX0NEU19NSUQuMTYvMDcvMjYBAAAA/O82AAIAAAAEMTYuNQBNS7iUF+TeCHLdtKAX5N4II0NJUS5J</t>
  </si>
  <si>
    <t>UVQ0NjIxODY3NC5JUV9DRFNfTUlELjE2LzA3LzI2AQAAAFfKNgACAAAABjEyNS42NABNS7iUF+TeCHLdtKAX5N4II0NJUS5JUVQ0NjIyNTcxNS5JUV9DRFNfTUlELjE2LzA3LzI2AQAAALflBAACAAAABzQzLjM5MjEATUu4lBfk3ghONLagF+TeCCNDSVEuSVFUNDYyMDQ4ODQuSVFfQ0RTX01JRC4wOC8wNy8yNgEAAACBUcABAgAAAAQyOS41AE1LuJQX5N4IM/PEoBfk3ggjQ0lRLklRVDQ2MjA3Nzg5LklRX0NEU19NSUQuMDgvMDcvMjYBAAAAKlijAQIAAAAHMjYuNzU4NwBNS7iUF+TeCDPzxKAX5N4IJENJUS5JUVQyODYwOTYxMzEuSVFfQ0RTX01JRC4wOC8wNy8yNgEAAAA78QQAAgAAAAc2MS4wODA3AE1LuJQX5N4IX6nFoBfk3ggjQ0lRLklRVDQ2MjI1MDA2LklRX0NEU19NSUQuMTcvMDQvMjYBAAAA+FUNAAIAAAAHMzkuNjAxMQBNS7iUF+TeCJYLyKAX5N4II0NJUS5JUVQ0NjIxODY3NC5JUV9DRFNfTUlELjEwLzA3LzI2AQAAAFfKNgACAAAACDEyMy4zMzc4AE1LuJQX5N4ISJK8oBfk3ggjQ0lRLklRVDQ2MjEwNTYwLklRX0NEU19NSUQuMDUvMDcvMjYBAAAA9ho3AAIAAAAHODYuMzgyNABNS7iUF+TeCBmKv6AX5N4II0NJUS5JUVQ0NjIwMDI3Ni5JUV9DRFNfTUlELjExLzA3LzI2AQAAAJZ3fAECAAAABzI4LjAyOTIATUu4lBfk3ggx9LqgF+TeCCNDSVEuSVFUNDYxOTU0OTEuSVFfQ0RTX01JRC4xMS8w</t>
  </si>
  <si>
    <t>Ny8yNgEAAABpSgAAAgAAAAc1NC4yOTk2AE1LuJQX5N4IMfS6oBfk3ggjQ0lRLklRVDc5NjM0OTAxLklRX0NEU19NSUQuMTEvMDcvMjYBAAAAnAYQAAIAAAAHNDEuMjkzMQBNS7iUF+TeCLvvu6AX5N4II0NJUS5JUVQ0NjIwNzU3MS5JUV9DRFNfTUlELjA5LzA3LzI2AQAAAG3vNQACAAAABzI5LjQ0MTEATUu4lBfk3gjimr2gF+TeCCNDSVEuSVFUNDYyMTM0NzIuSVFfQ0RTX01JRC4wOS8wNy8yNgEAAAC5WjgAAgAAAAcxNS4wNjI1AE1LuJQX5N4I+hK+oBfk3ggkQ0lRLklRVDI2MzIxMzEzMi5JUV9DRFNfTUlELjA5LzA3LzI2AQAAAOGaCAACAAAABzU1LjMzMzMATUu4lBfk3gj3Yr6gF+TeCCNDSVEuSVFUNDYyNjIzNzguSVFfQ0RTX01JRC4xNi8wNy8yNgEAAABA0okBAgAAAAQxOC40AE1LuJQX5N4Ict20oBfk3ggjQ0lRLklRVDQ2MTk3Njk0LklRX0NEU19NSUQuMTYvMDcvMjYBAAAAB/oFAAIAAAAHNTMuMTk2NwBNS7iUF+TeCHLdtKAX5N4II0NJUS5JUVQ2MjI3MDEwNy5JUV9DRFNfTUlELjE2LzA3LzI2AQAAABVZAAACAAAABzQxLjMzMDkATUu4lBfk3ghONLagF+TeCCNDSVEuSVFUNDYyMDczMDguSVFfQ0RTX01JRC4wOC8wNy8yNgEAAAA5iXoBAgAAAAYxNC4zNzUATUu4lBfk3ggz88SgF+TeCCNDSVEuSVFUNDYyMTAwMzIuSVFfQ0RTX01JRC4wOC8wNy8yNgEAAACPVaMBAgAAAAczNi45NTQyAE1L</t>
  </si>
  <si>
    <t>uJQX5N4IM/PEoBfk3ggjQ0lRLklRVDQ2MjI1Mzc0LklRX0NEU19NSUQuMDgvMDcvMjYBAAAAtdYFAAIAAAAHMzguNDIzNABNS7iUF+TeCF+pxaAX5N4II0NJUS5JUVQ0OTc1MTE5Ni5JUV9DRFNfTUlELjE3LzA3LzI1AQAAAM2ZvQACAAAABzM5LjgwMDMATUu4lBfk3gj/PcOgF+TeCCNDSVEuSVFUNjAzODk1MTYuSVFfQ0RTX01JRC4xNy8wNy8yNQEAAACl8MMBAgAAAAY4LjE2NjcATUu4lBfk3gj/PcOgF+TeCCRDSVEuSVFUMzIzNjgwMTMwLklRX0NEU19NSUQuMTcvMDcvMjUBAAAAceECAAIAAAAHNTAuMTgwNABNS7iUF+TeCMwqxKAX5N4IJENJUS5JUVQzMTMzMTU0MjkuSVFfQ0RTX01JRC4xNy8wNy8yNQEAAAA55wUAAgAAAAc0My4wMjIzALvAV5QX5N4IzCrEoBfk3ggjQ0lRLklRVDQ2MjA2Nzc5LklRX0NEU19NSUQuMTUvMDcvMjYBAAAA/O82AAIAAAAHMTYuNTgzNwBNS7iUF+TeCBXvtqAX5N4II0NJUS5JUVQ0NjIxODY3NC5JUV9DRFNfTUlELjE1LzA3LzI2AQAAAFfKNgACAAAACDEyNC44NDIzAE1LuJQX5N4IQyS3oBfk3ggjQ0lRLklRVDQ2MjI1NzE1LklRX0NEU19NSUQuMTUvMDcvMjYBAAAAt+UEAAIAAAAGNDMuMzMyAE1LuJQX5N4IQyS3oBfk3ggjQ0lRLklRVDQ2MjA0ODg0LklRX0NEU19NSUQuMDYvMDcvMjYBAAAAgVHAAQIAAAAHMjguNTgzMwBNS7iUF+TeCAxvxqAX5N4II0NJUS5JUVQ0</t>
  </si>
  <si>
    <t>NjIwNzc4OS5JUV9DRFNfTUlELjA2LzA3LzI2AQAAACpYowECAAAABzI2LjczMzkATUu4lBfk3ggMb8agF+TeCCRDSVEuSVFUMjg2MDk2MTMxLklRX0NEU19NSUQuMDYvMDcvMjYBAAAAO/EEAAIAAAAHNjAuODQ5NgBNS7iUF+TeCHI4x6AX5N4II0NJUS5JUVQ0NjIxMDU2MC5JUV9DRFNfTUlELjA0LzA3LzI2AQAAAPYaNwACAAAABzg2LjM4MjQATUu4lBfk3ghTwcigF+TeCCNDSVEuSVFUNDYyMTk5MjIuSVFfQ0RTX01JRC4wNC8wNy8yNgEAAADWRzkBAgAAAAM3LjUATUu4lBfk3gixhsmgF+TeCCNDSVEuSVFUNDYyMjM2NDYuSVFfQ0RTX01JRC4wNC8wNy8yNgEAAAAbeAQAAgAAAAc0OC4zODQ3AE1LuJQX5N4IsYbJoBfk3ggkQ0lRLklRVDMxMzMxNDk3Ni5JUV9DRFNfTUlELjA0LzA3LzI2AQAAAG1KAAACAAAAAjU2ALvAV5QX5N4ICj3KoBfk3ggjQ0lRLklRVDQ2MjE4NTE2LklRX0NEU19NSUQuMTcvMDQvMjYBAAAAplWjAQIAAAAHMzcuODkxMQBNS7iUF+TeCJYLyKAX5N4II0NJUS5JUVQ0NjIyMDgwMy5JUV9DRFNfTUlELjE3LzA0LzI2AQAAANbJNgACAAAABzQ4LjgyOTMATUu4lBfk3giWC8igF+TeCCNDSVEuSVFUNDYyMDAzNjQuSVFfQ0RTX01JRC4xNy8wNC8yNgEAAABXhggAAgAAAAcyOC44NzU3AE1LuJQX5N4IU8HIoBfk3ggjQ0lRLklRVDQ2MjA0MzAwLklRX0NEU19NSUQuMTQvMDcvMjYBAAAA</t>
  </si>
  <si>
    <t>9iV9AAIAAAAGNy4xMDAxAE1LuJQX5N4IPe23oBfk3ggjQ0lRLklRVDYwMzg4MDU3LklRX0NEU19NSUQuMTQvMDcvMjYBAAAA38l9AQMAAAAAAE1LuJQX5N4IPe23oBfk3ggjQ0lRLklRVDQ2MTk5ODQxLklRX0NEU19NSUQuMTQvMDcvMjYBAAAA6zAGAAMAAAAAAE1LuJQX5N4IPe23oBfk3ggjQ0lRLklRVDQ2MjE0ODc5LklRX0NEU19NSUQuMTMvMDcvMjYBAAAA9Ro3AAIAAAAGNTAuNTU4AE1LuJQX5N4I/ie0oBfk3ggjQ0lRLklRVDQ2NDcwODc3LklRX0NEU19NSUQuMTMvMDcvMjYBAAAAQjcHAAIAAAAHNTUuNzY5MwBNS7iUF+TeCP4ntKAX5N4IJENJUS5JUVQzMTMzMTA4NTQuSVFfQ0RTX01JRC4xMy8wNy8yNgEAAACvVA0AAgAAAAQ2MS41ALvAV5QX5N4Ict20oBfk3ggjQ0lRLklRVDQ2MjE0OTU0LklRX0NEU19NSUQuMTIvMDcvMjYBAAAAOj05AQIAAAAGMTQuMTI1AE1LuJQX5N4ITIC5oBfk3ggjQ0lRLklRVDQ2MjA4NjM0LklRX0NEU19NSUQuMTIvMDcvMjYBAAAAAx/CAAIAAAAHMjIuMTA2NgBNS7iUF+TeCEyAuaAX5N4II0NJUS5JUVQ0NjIyNTA4My5JUV9DRFNfTUlELjEyLzA3LzI2AQAAAFZEBgACAAAABzM2Ljg3MDUATUu4lBfk3ggGRLqgF+TeCCNDSVEuSVFUNDYyMDM3MTQuSVFfQ0RTX01JRC4xMC8wNy8yNgEAAABfBTUAAgAAAAczMC43MDM5AE1LuJQX5N4Iu++7oBfk3ggjQ0lRLklRVDc5</t>
  </si>
  <si>
    <t>NjM5OTUzLklRX0NEU19NSUQuMTAvMDcvMjYBAAAANJtWAQIAAAAHMjQuOTE5MQBNS7iUF+TeCEiSvKAX5N4IJENJUS5JUVQ1Mjg5MzY4MTIuSVFfQ0RTX01JRC4xMC8wNy8yNgEAAABsWwYAAgAAAAY0Ni43MjcATUu4lBfk3ghIkrygF+TeCCNDSVEuSVFUNDYxOTcxMzguSVFfQ0RTX01JRC4wNy8wNy8yNgEAAADulDgBAgAAAAgxMjYuNTM4MwBNS7iUF+TeCPdivqAX5N4II0NJUS5JUVQ1MTAyMzQ4MC5JUV9DRFNfTUlELjA3LzA3LzI2AQAAAMJF8QECAAAABjQuODA4MQBNS7iUF+TeCPdivqAX5N4II0NJUS5JUVQ3OTY0MDAyNC5JUV9DRFNfTUlELjA1LzA3LzI2AQAAADWPmwECAAAABjcuODEyNQBNS7iUF+TeCBmKv6AX5N4IJENJUS5JUVQzMTMzMDU4NzkuSVFfQ0RTX01JRC4wNS8wNy8yNgEAAACE1twBAwAAAAAATUu4lBfk3ghlE8GgF+TeCCNDSVEuSVFUNDYyMTUxMTEuSVFfQ0RTX01JRC4wMy8wNy8yNgEAAACgS7IBAgAAAAczNy4wMzMxAE1LuJQX5N4IxJ/CoBfk3ggkQ0lRLklRVDMxMzMxMzUyNC5JUV9DRFNfTUlELjAzLzA3LzI2AQAAAO9VDQACAAAABzYwLjAxNzQAu8BXlBfk3gj/PcOgF+TeCCNDSVEuSVFUNDYyMDc3ODkuSVFfQ0RTX01JRC4xNC8wNy8yNgEAAAAqWKMBAgAAAAcyNi41ODg2AE1LuJQX5N4IPe23oBfk3ggjQ0lRLklRVDQ2MjIzNjQ2LklRX0NEU19NSUQuMTMvMDcvMjYBAAAA</t>
  </si>
  <si>
    <t>G3gEAAIAAAAHNDkuMjk1OQBNS7iUF+TeCP4ntKAX5N4II0NJUS5JUVQ0NjIyMDgwMy5JUV9DRFNfTUlELjEyLzA3LzI2AQAAANbJNgACAAAABzQxLjEwNjQATUu4lBfk3ghMgLmgF+TeCCRDSVEuSVFUMzEzMzEwMTg0LklRX0NEU19NSUQuMDcvMDcvMjYBAAAAYEQ+AAIAAAAHMTEuMjY5NQBNS7iUF+TeCPdivqAX5N4II0NJUS5JUVQ0NjIxNDk1NC5JUV9DRFNfTUlELjA1LzA3LzI2AQAAADo9OQECAAAABzE0LjMzMzMATUu4lBfk3ggZir+gF+TeCCNDSVEuSVFUNDYyMDg2MzQuSVFfQ0RTX01JRC4wNS8wNy8yNgEAAAADH8IAAgAAAAcyMi4zMDA0AE1LuJQX5N4IZRPBoBfk3ggjQ0lRLklRVDQ2MjAzNzE0LklRX0NEU19NSUQuMDMvMDcvMjYBAAAAXwU1AAIAAAAHMjkuMDYyOQBNS7iUF+TeCC7YwaAX5N4II0NJUS5JUVQ0NjIyNjEzMi5JUV9DRFNfTUlELjEzLzA3LzI2AQAAAN1ZAAACAAAABTQxLjg2AE1LuJQX5N4I/ie0oBfk3ggkQ0lRLklRVDY0NDcwMTc5Ny5JUV9DRFNfTUlELjEwLzA3LzI2AQAAAFM/fQECAAAABzEwLjUzNzgATUu4lBfk3gi777ugF+TeCCRDSVEuSVFUMjU0OTU1MjMzLklRX0NEU19NSUQuMTAvMDcvMjYBAAAAOVYKAAIAAAAHNDIuNzAxNABNS7iUF+TeCEiSvKAX5N4IJENJUS5JUVQzMTMzMTczNDQuSVFfQ0RTX01JRC4wNy8wNy8yNgEAAADxrAEAAgAAAAc1OS45NzMyALvAV5QX</t>
  </si>
  <si>
    <t>5N4IGYq/oBfk3ggjQ0lRLklRVDQ2MjIzNjQ2LklRX0NEU19NSUQuMDUvMDcvMjYBAAAAG3gEAAIAAAAHNDguMzg0NwBNS7iUF+TeCGUTwaAX5N4II0NJUS5JUVQ0NjIyMDgwMy5JUV9DRFNfTUlELjAzLzA3LzI2AQAAANbJNgACAAAAAjQwAE1LuJQX5N4IxJ/CoBfk3ggjQ0lRLklRVDc5NjM5OTEzLklRX0NEU19NSUQuMTEvMDcvMjYBAAAAIGMcAgIAAAAGNy45MTYzAE1LuJQX5N4IMfS6oBfk3ggjQ0lRLklRVDQ2MjA3ODcyLklRX0NEU19NSUQuMTEvMDcvMjYBAAAAWA0KAAIAAAAHNDAuNDMwMwBNS7iUF+TeCDH0uqAX5N4II0NJUS5JUVQ0NjIwMDMxNy5JUV9DRFNfTUlELjExLzA3LzI2AQAAAP5UDQACAAAABzY1LjQ2MTcAu8BXlBfk3gi777ugF+TeCCRDSVEuSVFUNjQ0NzAxNzk3LklRX0NEU19NSUQuMDkvMDcvMjYBAAAAUz99AQIAAAAHMTAuNjUzOABNS7iUF+TeCOKavaAX5N4II0NJUS5JUVQ0NjIxNjk4Ni5JUV9DRFNfTUlELjA5LzA3LzI2AQAAAM5EOAEDAAAAAABNS7iUF+TeCPoSvqAX5N4IJENJUS5JUVQyNTQ5NTUyMzMuSVFfQ0RTX01JRC4wOS8wNy8yNgEAAAA5VgoAAgAAAAc0Mi45MjU2AE1LuJQX5N4I92K+oBfk3ggjQ0lRLklRVDQ2MjAwMjc2LklRX0NEU19NSUQuMTYvMDcvMjYBAAAAlnd8AQIAAAAHMjkuODI4OABNS7iUF+TeCHLdtKAX5N4II0NJUS5JUVQ0NjE5NTQ5MS5JUV9DRFNf</t>
  </si>
  <si>
    <t>TUlELjE2LzA3LzI2AQAAAGlKAAACAAAABzU0LjkzMzQATUu4lBfk3ghy3bSgF+TeCCNDSVEuSVFUNzk2MzQ5MDEuSVFfQ0RTX01JRC4xNi8wNy8yNgEAAACcBhAAAgAAAAc0MS4wNTI1AE1LuJQX5N4ITjS2oBfk3ggjQ0lRLklRVDQ2MjA3NTcxLklRX0NEU19NSUQuMDgvMDcvMjYBAAAAbe81AAIAAAAHMjkuNDI4OQBNS7iUF+TeCDPzxKAX5N4II0NJUS5JUVQ0NjIxMzQ3Mi5JUV9DRFNfTUlELjA4LzA3LzI2AQAAALlaOAACAAAABzE0LjgxMjUATUu4lBfk3ggz88SgF+TeCCRDSVEuSVFUMjYzMjEzMTMyLklRX0NEU19NSUQuMDgvMDcvMjYBAAAA4ZoIAAIAAAAHNTUuMzM4NABNS7iUF+TeCF+pxaAX5N4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</si>
</sst>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\(#,##0\);&quot;-&quot;"/>
    <numFmt numFmtId="165" formatCode="\+0.0;\-0.0;&quot;-&quot;"/>
    <numFmt numFmtId="166" formatCode="0.0"/>
    <numFmt numFmtId="167" formatCode="0_ ;\-0\ "/>
    <numFmt numFmtId="168" formatCode="0.0_ ;\-0.0\ "/>
    <numFmt numFmtId="169" formatCode="0.0000"/>
  </numFmts>
  <fonts count="21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sz val="8"/>
      <color rgb="FF000000"/>
      <name val="Arial"/>
      <family val="2"/>
    </font>
    <font>
      <sz val="9"/>
      <color rgb="FF000000"/>
      <name val="Arial"/>
      <family val="2"/>
    </font>
    <font>
      <i/>
      <sz val="8"/>
      <color rgb="FF666666"/>
      <name val="Arial"/>
      <family val="2"/>
    </font>
    <font>
      <b/>
      <sz val="9"/>
      <name val="Arial"/>
      <family val="2"/>
    </font>
    <font>
      <sz val="8"/>
      <color rgb="FF666666"/>
      <name val="Arial"/>
      <family val="2"/>
    </font>
    <font>
      <sz val="10"/>
      <color rgb="FF14181F"/>
      <name val="Calibri"/>
      <family val="2"/>
      <scheme val="minor"/>
    </font>
    <font>
      <sz val="9"/>
      <color rgb="FF000000"/>
      <name val="Arial"/>
      <family val="2"/>
    </font>
    <font>
      <i/>
      <sz val="9"/>
      <color rgb="FF666666"/>
      <name val="Arial"/>
      <family val="2"/>
    </font>
    <font>
      <sz val="9"/>
      <color rgb="FF14181F"/>
      <name val="Arial"/>
      <family val="2"/>
    </font>
    <font>
      <b/>
      <sz val="9"/>
      <color rgb="FFFFFFFF"/>
      <name val="Arial"/>
      <family val="2"/>
    </font>
    <font>
      <sz val="9"/>
      <color theme="1"/>
      <name val="Arial"/>
      <family val="2"/>
    </font>
    <font>
      <b/>
      <sz val="11"/>
      <color theme="1"/>
      <name val="Calibri"/>
      <family val="2"/>
      <scheme val="minor"/>
    </font>
    <font>
      <sz val="9"/>
      <name val="Arial"/>
      <family val="2"/>
    </font>
    <font>
      <sz val="10"/>
      <color theme="1"/>
      <name val="Arial Unicode MS"/>
    </font>
    <font>
      <sz val="8"/>
      <color rgb="FF000000"/>
      <name val="Verdana"/>
      <family val="2"/>
    </font>
    <font>
      <b/>
      <sz val="12"/>
      <color theme="0"/>
      <name val="Tahoma"/>
      <family val="2"/>
    </font>
    <font>
      <sz val="12"/>
      <color theme="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rgb="FF1F5C6B"/>
      </patternFill>
    </fill>
    <fill>
      <patternFill patternType="solid">
        <fgColor rgb="FF2E7D8C"/>
      </patternFill>
    </fill>
    <fill>
      <patternFill patternType="solid">
        <fgColor rgb="FF4AA8B8"/>
      </patternFill>
    </fill>
    <fill>
      <patternFill patternType="solid">
        <fgColor rgb="FFF2F2F2"/>
      </patternFill>
    </fill>
    <fill>
      <patternFill patternType="solid">
        <fgColor rgb="FFFF6B6B"/>
      </patternFill>
    </fill>
    <fill>
      <patternFill patternType="solid">
        <fgColor rgb="FFFFFFFF"/>
      </patternFill>
    </fill>
    <fill>
      <patternFill patternType="solid">
        <fgColor rgb="FF215968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215968"/>
      </left>
      <right style="thin">
        <color rgb="FF215968"/>
      </right>
      <top style="thin">
        <color rgb="FF215968"/>
      </top>
      <bottom style="thin">
        <color rgb="FF215968"/>
      </bottom>
      <diagonal/>
    </border>
    <border>
      <left style="thin">
        <color rgb="FF215968"/>
      </left>
      <right style="thin">
        <color rgb="FF215968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indexed="64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ck">
        <color indexed="64"/>
      </right>
      <top/>
      <bottom style="thin">
        <color auto="1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165" fontId="5" fillId="5" borderId="1" xfId="0" applyNumberFormat="1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center" vertical="center"/>
    </xf>
    <xf numFmtId="164" fontId="5" fillId="7" borderId="1" xfId="0" applyNumberFormat="1" applyFont="1" applyFill="1" applyBorder="1" applyAlignment="1">
      <alignment horizontal="center" vertical="center"/>
    </xf>
    <xf numFmtId="165" fontId="5" fillId="7" borderId="1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10" fillId="5" borderId="1" xfId="0" applyFont="1" applyFill="1" applyBorder="1" applyAlignment="1">
      <alignment horizontal="left" vertical="center"/>
    </xf>
    <xf numFmtId="165" fontId="10" fillId="5" borderId="1" xfId="0" applyNumberFormat="1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left" vertical="center"/>
    </xf>
    <xf numFmtId="165" fontId="10" fillId="7" borderId="1" xfId="0" applyNumberFormat="1" applyFont="1" applyFill="1" applyBorder="1" applyAlignment="1">
      <alignment horizontal="center" vertical="center"/>
    </xf>
    <xf numFmtId="0" fontId="15" fillId="0" borderId="0" xfId="0" applyFont="1"/>
    <xf numFmtId="0" fontId="17" fillId="0" borderId="0" xfId="0" applyFont="1"/>
    <xf numFmtId="0" fontId="4" fillId="0" borderId="1" xfId="0" applyFont="1" applyBorder="1" applyAlignment="1">
      <alignment horizontal="center" vertical="center"/>
    </xf>
    <xf numFmtId="1" fontId="9" fillId="0" borderId="1" xfId="0" applyNumberFormat="1" applyFont="1" applyBorder="1" applyAlignment="1">
      <alignment vertical="center"/>
    </xf>
    <xf numFmtId="0" fontId="17" fillId="0" borderId="0" xfId="0" applyFont="1" applyAlignment="1">
      <alignment vertical="center"/>
    </xf>
    <xf numFmtId="0" fontId="18" fillId="0" borderId="0" xfId="0" applyFont="1"/>
    <xf numFmtId="14" fontId="0" fillId="0" borderId="0" xfId="0" applyNumberFormat="1"/>
    <xf numFmtId="0" fontId="19" fillId="8" borderId="0" xfId="0" applyFont="1" applyFill="1"/>
    <xf numFmtId="0" fontId="20" fillId="0" borderId="2" xfId="0" applyFont="1" applyBorder="1"/>
    <xf numFmtId="0" fontId="20" fillId="0" borderId="0" xfId="0" applyFont="1"/>
    <xf numFmtId="0" fontId="20" fillId="0" borderId="3" xfId="0" applyFont="1" applyBorder="1"/>
    <xf numFmtId="167" fontId="10" fillId="7" borderId="1" xfId="0" applyNumberFormat="1" applyFont="1" applyFill="1" applyBorder="1" applyAlignment="1">
      <alignment horizontal="center" vertical="center"/>
    </xf>
    <xf numFmtId="167" fontId="10" fillId="5" borderId="1" xfId="0" applyNumberFormat="1" applyFont="1" applyFill="1" applyBorder="1" applyAlignment="1">
      <alignment horizontal="center" vertical="center"/>
    </xf>
    <xf numFmtId="168" fontId="10" fillId="5" borderId="1" xfId="0" applyNumberFormat="1" applyFont="1" applyFill="1" applyBorder="1" applyAlignment="1">
      <alignment horizontal="center" vertical="center"/>
    </xf>
    <xf numFmtId="167" fontId="5" fillId="5" borderId="1" xfId="0" applyNumberFormat="1" applyFont="1" applyFill="1" applyBorder="1" applyAlignment="1">
      <alignment horizontal="center" vertical="center"/>
    </xf>
    <xf numFmtId="167" fontId="5" fillId="7" borderId="1" xfId="0" applyNumberFormat="1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9" fontId="0" fillId="0" borderId="0" xfId="0" applyNumberFormat="1"/>
    <xf numFmtId="169" fontId="17" fillId="0" borderId="0" xfId="0" applyNumberFormat="1" applyFont="1" applyAlignment="1">
      <alignment vertical="center"/>
    </xf>
    <xf numFmtId="169" fontId="0" fillId="0" borderId="0" xfId="0" applyNumberFormat="1"/>
    <xf numFmtId="167" fontId="16" fillId="0" borderId="4" xfId="0" applyNumberFormat="1" applyFont="1" applyBorder="1" applyAlignment="1">
      <alignment horizontal="center" vertical="center"/>
    </xf>
    <xf numFmtId="165" fontId="5" fillId="5" borderId="6" xfId="0" applyNumberFormat="1" applyFont="1" applyFill="1" applyBorder="1" applyAlignment="1">
      <alignment horizontal="center" vertical="center"/>
    </xf>
    <xf numFmtId="168" fontId="10" fillId="5" borderId="5" xfId="0" applyNumberFormat="1" applyFont="1" applyFill="1" applyBorder="1" applyAlignment="1">
      <alignment horizontal="center" vertical="center"/>
    </xf>
    <xf numFmtId="167" fontId="10" fillId="5" borderId="7" xfId="0" applyNumberFormat="1" applyFont="1" applyFill="1" applyBorder="1" applyAlignment="1">
      <alignment horizontal="center" vertical="center"/>
    </xf>
    <xf numFmtId="165" fontId="10" fillId="7" borderId="5" xfId="0" applyNumberFormat="1" applyFont="1" applyFill="1" applyBorder="1" applyAlignment="1">
      <alignment horizontal="center" vertical="center"/>
    </xf>
    <xf numFmtId="167" fontId="10" fillId="7" borderId="7" xfId="0" applyNumberFormat="1" applyFont="1" applyFill="1" applyBorder="1" applyAlignment="1">
      <alignment horizontal="center" vertical="center"/>
    </xf>
    <xf numFmtId="168" fontId="10" fillId="7" borderId="5" xfId="0" applyNumberFormat="1" applyFont="1" applyFill="1" applyBorder="1" applyAlignment="1">
      <alignment horizontal="center" vertical="center"/>
    </xf>
    <xf numFmtId="165" fontId="5" fillId="7" borderId="5" xfId="0" applyNumberFormat="1" applyFont="1" applyFill="1" applyBorder="1" applyAlignment="1">
      <alignment horizontal="center" vertical="center"/>
    </xf>
    <xf numFmtId="167" fontId="7" fillId="6" borderId="7" xfId="0" applyNumberFormat="1" applyFont="1" applyFill="1" applyBorder="1" applyAlignment="1">
      <alignment horizontal="center" vertical="center"/>
    </xf>
    <xf numFmtId="164" fontId="5" fillId="7" borderId="5" xfId="0" applyNumberFormat="1" applyFont="1" applyFill="1" applyBorder="1" applyAlignment="1">
      <alignment horizontal="right" vertical="center"/>
    </xf>
    <xf numFmtId="0" fontId="6" fillId="7" borderId="7" xfId="0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1" fontId="12" fillId="0" borderId="5" xfId="0" applyNumberFormat="1" applyFont="1" applyBorder="1" applyAlignment="1">
      <alignment vertical="center"/>
    </xf>
    <xf numFmtId="0" fontId="11" fillId="5" borderId="7" xfId="0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164" fontId="10" fillId="7" borderId="5" xfId="0" applyNumberFormat="1" applyFont="1" applyFill="1" applyBorder="1" applyAlignment="1">
      <alignment horizontal="center" vertical="center"/>
    </xf>
    <xf numFmtId="166" fontId="9" fillId="0" borderId="5" xfId="0" applyNumberFormat="1" applyFont="1" applyBorder="1" applyAlignment="1">
      <alignment vertical="center"/>
    </xf>
    <xf numFmtId="165" fontId="5" fillId="5" borderId="7" xfId="0" applyNumberFormat="1" applyFont="1" applyFill="1" applyBorder="1" applyAlignment="1">
      <alignment horizontal="center" vertical="center"/>
    </xf>
    <xf numFmtId="165" fontId="10" fillId="5" borderId="5" xfId="0" applyNumberFormat="1" applyFont="1" applyFill="1" applyBorder="1" applyAlignment="1">
      <alignment horizontal="center" vertical="center"/>
    </xf>
    <xf numFmtId="165" fontId="10" fillId="0" borderId="7" xfId="0" applyNumberFormat="1" applyFont="1" applyBorder="1" applyAlignment="1">
      <alignment horizontal="center" vertical="center"/>
    </xf>
    <xf numFmtId="165" fontId="10" fillId="7" borderId="7" xfId="0" applyNumberFormat="1" applyFont="1" applyFill="1" applyBorder="1" applyAlignment="1">
      <alignment horizontal="center" vertical="center"/>
    </xf>
    <xf numFmtId="165" fontId="5" fillId="7" borderId="4" xfId="0" applyNumberFormat="1" applyFont="1" applyFill="1" applyBorder="1" applyAlignment="1">
      <alignment horizontal="center" vertical="center"/>
    </xf>
    <xf numFmtId="165" fontId="5" fillId="7" borderId="6" xfId="0" applyNumberFormat="1" applyFont="1" applyFill="1" applyBorder="1" applyAlignment="1">
      <alignment horizontal="center" vertical="center"/>
    </xf>
    <xf numFmtId="1" fontId="9" fillId="0" borderId="7" xfId="0" applyNumberFormat="1" applyFont="1" applyBorder="1" applyAlignment="1">
      <alignment vertical="center"/>
    </xf>
    <xf numFmtId="165" fontId="10" fillId="5" borderId="7" xfId="0" applyNumberFormat="1" applyFont="1" applyFill="1" applyBorder="1" applyAlignment="1">
      <alignment horizontal="center" vertical="center"/>
    </xf>
    <xf numFmtId="165" fontId="5" fillId="7" borderId="7" xfId="0" applyNumberFormat="1" applyFont="1" applyFill="1" applyBorder="1" applyAlignment="1">
      <alignment horizontal="center" vertical="center"/>
    </xf>
    <xf numFmtId="0" fontId="8" fillId="7" borderId="0" xfId="0" applyFont="1" applyFill="1" applyAlignment="1">
      <alignment horizontal="left" vertical="center"/>
    </xf>
    <xf numFmtId="0" fontId="0" fillId="0" borderId="0" xfId="0"/>
    <xf numFmtId="0" fontId="3" fillId="2" borderId="1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0" fontId="13" fillId="2" borderId="1" xfId="0" applyFont="1" applyFill="1" applyBorder="1" applyAlignment="1">
      <alignment horizontal="left" vertical="center"/>
    </xf>
    <xf numFmtId="0" fontId="14" fillId="0" borderId="0" xfId="0" applyFont="1"/>
  </cellXfs>
  <cellStyles count="1">
    <cellStyle name="Normal" xfId="0" builtinId="0"/>
  </cellStyles>
  <dxfs count="6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finitivshim.rtdserver.tr">
      <tp>
        <v>8757.2000000000007</v>
        <stp/>
        <stp>398</stp>
        <stp>19699750</stp>
        <tr r="K36" s="1"/>
        <tr r="K36" s="1"/>
      </tp>
      <tp>
        <v>1.1596</v>
        <stp/>
        <stp>298</stp>
        <stp>19699750</stp>
        <tr r="O22" s="1"/>
      </tp>
      <tp>
        <v>3700.6</v>
        <stp/>
        <stp>598</stp>
        <stp>19699750</stp>
        <tr r="J31" s="1"/>
        <tr r="J31" s="1"/>
      </tp>
      <tp>
        <v>78493.539999999994</v>
        <stp/>
        <stp>498</stp>
        <stp>19699750</stp>
        <tr r="J39" s="1"/>
        <tr r="J39" s="1"/>
      </tp>
      <tp>
        <v>3182.1280000000002</v>
        <stp/>
        <stp>798</stp>
        <stp>19699750</stp>
        <tr r="J32" s="1"/>
        <tr r="J32" s="1"/>
      </tp>
      <tp>
        <v>13565.74</v>
        <stp/>
        <stp>698</stp>
        <stp>19699750</stp>
        <tr r="H19" s="1"/>
      </tp>
      <tp>
        <v>7.8396999999999997</v>
        <stp/>
        <stp>399</stp>
        <stp>19699750</stp>
        <tr r="L38" s="1"/>
      </tp>
      <tp>
        <v>0.80854999999999999</v>
        <stp/>
        <stp>299</stp>
        <stp>19699750</stp>
        <tr r="L33" s="1"/>
      </tp>
      <tp>
        <v>14343.7</v>
        <stp/>
        <stp>599</stp>
        <stp>19699750</stp>
        <tr r="K33" s="1"/>
      </tp>
      <tp>
        <v>1540.95</v>
        <stp/>
        <stp>499</stp>
        <stp>19699750</stp>
        <tr r="M45" s="1"/>
      </tp>
      <tp t="s">
        <v>The record could not be found (Error code: 0)</v>
        <stp/>
        <stp>799</stp>
        <stp>19699750</stp>
        <tr r="K34" s="1"/>
      </tp>
      <tp>
        <v>13884.39</v>
        <stp/>
        <stp>699</stp>
        <stp>19699750</stp>
        <tr r="H19" s="1"/>
        <tr r="H19" s="1"/>
      </tp>
      <tp>
        <v>14267.19</v>
        <stp/>
        <stp>394</stp>
        <stp>19699750</stp>
        <tr r="H33" s="1"/>
      </tp>
      <tp>
        <v>19216.900000000001</v>
        <stp/>
        <stp>294</stp>
        <stp>19699750</stp>
        <tr r="K25" s="1"/>
      </tp>
      <tp>
        <v>1.1596</v>
        <stp/>
        <stp>594</stp>
        <stp>19699750</stp>
        <tr r="O24" s="1"/>
      </tp>
      <tp>
        <v>1.1435</v>
        <stp/>
        <stp>494</stp>
        <stp>19699750</stp>
        <tr r="U21" s="1"/>
      </tp>
      <tp>
        <v>2299.33</v>
        <stp/>
        <stp>794</stp>
        <stp>19699750</stp>
        <tr r="I30" s="1"/>
      </tp>
      <tp>
        <v>17.529399999999999</v>
        <stp/>
        <stp>694</stp>
        <stp>19699750</stp>
        <tr r="U10" s="1"/>
      </tp>
      <tp>
        <v>14235.09</v>
        <stp/>
        <stp>395</stp>
        <stp>19699750</stp>
        <tr r="H33" s="1"/>
        <tr r="H33" s="1"/>
      </tp>
      <tp>
        <v>13989</v>
        <stp/>
        <stp>295</stp>
        <stp>19699750</stp>
        <tr r="K25" s="1"/>
        <tr r="K25" s="1"/>
      </tp>
      <tp>
        <v>10600.37</v>
        <stp/>
        <stp>595</stp>
        <stp>19699750</stp>
        <tr r="R27" s="1"/>
      </tp>
      <tp>
        <v>19216.900000000001</v>
        <stp/>
        <stp>495</stp>
        <stp>19699750</stp>
        <tr r="J25" s="1"/>
      </tp>
      <tp>
        <v>2222.4499999999998</v>
        <stp/>
        <stp>795</stp>
        <stp>19699750</stp>
        <tr r="I30" s="1"/>
        <tr r="I30" s="1"/>
      </tp>
      <tp>
        <v>1.1596</v>
        <stp/>
        <stp>695</stp>
        <stp>19699750</stp>
        <tr r="O13" s="1"/>
      </tp>
      <tp>
        <v>0.80759999999999998</v>
        <stp/>
        <stp>396</stp>
        <stp>19699750</stp>
        <tr r="U33" s="1"/>
      </tp>
      <tp>
        <v>-4.1100000000000003</v>
        <stp/>
        <stp>296</stp>
        <stp>19699750</stp>
        <tr r="O30" s="1"/>
      </tp>
      <tp>
        <v>6.5327000000000002</v>
        <stp/>
        <stp>596</stp>
        <stp>19699750</stp>
        <tr r="V29" s="1"/>
      </tp>
      <tp>
        <v>18484.5</v>
        <stp/>
        <stp>496</stp>
        <stp>19699750</stp>
        <tr r="J25" s="1"/>
        <tr r="J25" s="1"/>
      </tp>
      <tp>
        <v>9.6576000000000004</v>
        <stp/>
        <stp>796</stp>
        <stp>19699750</stp>
        <tr r="V30" s="1"/>
      </tp>
      <tp>
        <v>6174.83</v>
        <stp/>
        <stp>696</stp>
        <stp>19699750</stp>
        <tr r="R15" s="1"/>
      </tp>
      <tp>
        <v>8796.7000000000007</v>
        <stp/>
        <stp>397</stp>
        <stp>19699750</stp>
        <tr r="K36" s="1"/>
      </tp>
      <tp>
        <v>1.1440999999999999</v>
        <stp/>
        <stp>297</stp>
        <stp>19699750</stp>
        <tr r="V14" s="1"/>
      </tp>
      <tp>
        <v>3766.41</v>
        <stp/>
        <stp>597</stp>
        <stp>19699750</stp>
        <tr r="J31" s="1"/>
      </tp>
      <tp>
        <v>78151.45</v>
        <stp/>
        <stp>497</stp>
        <stp>19699750</stp>
        <tr r="J39" s="1"/>
      </tp>
      <tp>
        <v>3146.9389999999999</v>
        <stp/>
        <stp>797</stp>
        <stp>19699750</stp>
        <tr r="J32" s="1"/>
      </tp>
      <tp>
        <v>25067.09</v>
        <stp/>
        <stp>697</stp>
        <stp>19699750</stp>
        <tr r="S17" s="1"/>
      </tp>
      <tp>
        <v>1.1413500000000001</v>
        <stp/>
        <stp>390</stp>
        <stp>19699750</stp>
        <tr r="L24" s="1"/>
      </tp>
      <tp>
        <v>1722.19</v>
        <stp/>
        <stp>290</stp>
        <stp>19699750</stp>
        <tr r="K41" s="1"/>
      </tp>
      <tp>
        <v>2309.1</v>
        <stp/>
        <stp>590</stp>
        <stp>19699750</stp>
        <tr r="J18" s="1"/>
        <tr r="J18" s="1"/>
      </tp>
      <tp>
        <v>109569.92</v>
        <stp/>
        <stp>490</stp>
        <stp>19699750</stp>
        <tr r="R49" s="1"/>
      </tp>
      <tp>
        <v>1605.5637999999999</v>
        <stp/>
        <stp>790</stp>
        <stp>19699750</stp>
        <tr r="K21" s="1"/>
        <tr r="K21" s="1"/>
      </tp>
      <tp>
        <v>31.864999999999998</v>
        <stp/>
        <stp>690</stp>
        <stp>19699750</stp>
        <tr r="M46" s="1"/>
      </tp>
      <tp>
        <v>1.32575</v>
        <stp/>
        <stp>391</stp>
        <stp>19699750</stp>
        <tr r="M27" s="1"/>
      </tp>
      <tp>
        <v>1525.86</v>
        <stp/>
        <stp>291</stp>
        <stp>19699750</stp>
        <tr r="K41" s="1"/>
        <tr r="K41" s="1"/>
      </tp>
      <tp>
        <v>51882.28</v>
        <stp/>
        <stp>591</stp>
        <stp>19699750</stp>
        <tr r="K20" s="1"/>
      </tp>
      <tp>
        <v>16.399999999999999</v>
        <stp/>
        <stp>491</stp>
        <stp>19699750</stp>
        <tr r="V49" s="1"/>
      </tp>
      <tp>
        <v>-2.79</v>
        <stp/>
        <stp>791</stp>
        <stp>19699750</stp>
        <tr r="N23" s="1"/>
      </tp>
      <tp>
        <v>177866.37</v>
        <stp/>
        <stp>691</stp>
        <stp>19699750</stp>
        <tr r="S8" s="1"/>
      </tp>
      <tp>
        <v>2.93</v>
        <stp/>
        <stp>392</stp>
        <stp>19699750</stp>
        <tr r="N29" s="1"/>
      </tp>
      <tp>
        <v>5.42</v>
        <stp/>
        <stp>292</stp>
        <stp>19699750</stp>
        <tr r="N47" s="1"/>
      </tp>
      <tp>
        <v>40311.99</v>
        <stp/>
        <stp>592</stp>
        <stp>19699750</stp>
        <tr r="K20" s="1"/>
        <tr r="K20" s="1"/>
      </tp>
      <tp>
        <v>1.1435</v>
        <stp/>
        <stp>492</stp>
        <stp>19699750</stp>
        <tr r="U23" s="1"/>
      </tp>
      <tp>
        <v>1.1596</v>
        <stp/>
        <stp>792</stp>
        <stp>19699750</stp>
        <tr r="O25" s="1"/>
      </tp>
      <tp>
        <v>66356.09</v>
        <stp/>
        <stp>692</stp>
        <stp>19699750</stp>
        <tr r="H10" s="1"/>
      </tp>
      <tp>
        <v>3769.5</v>
        <stp/>
        <stp>393</stp>
        <stp>19699750</stp>
        <tr r="S31" s="1"/>
      </tp>
      <tp>
        <v>1.1440999999999999</v>
        <stp/>
        <stp>293</stp>
        <stp>19699750</stp>
        <tr r="V21" s="1"/>
      </tp>
      <tp>
        <v>-2.79</v>
        <stp/>
        <stp>593</stp>
        <stp>19699750</stp>
        <tr r="N22" s="1"/>
      </tp>
      <tp>
        <v>1499.15</v>
        <stp/>
        <stp>493</stp>
        <stp>19699750</stp>
        <tr r="L45" s="1"/>
      </tp>
      <tp>
        <v>2584.41</v>
        <stp/>
        <stp>793</stp>
        <stp>19699750</stp>
        <tr r="R28" s="1"/>
      </tp>
      <tp>
        <v>66496.100000000006</v>
        <stp/>
        <stp>693</stp>
        <stp>19699750</stp>
        <tr r="H10" s="1"/>
        <tr r="H10" s="1"/>
      </tp>
      <tp>
        <v>1091.97</v>
        <stp/>
        <stp>388</stp>
        <stp>19699750</stp>
        <tr r="K22" s="1"/>
      </tp>
      <tp>
        <v>3.33</v>
        <stp/>
        <stp>288</stp>
        <stp>19699750</stp>
        <tr r="O46" s="1"/>
      </tp>
      <tp>
        <v>1.1440999999999999</v>
        <stp/>
        <stp>588</stp>
        <stp>19699750</stp>
        <tr r="V16" s="1"/>
      </tp>
      <tp>
        <v>5539.38</v>
        <stp/>
        <stp>488</stp>
        <stp>19699750</stp>
        <tr r="R44" s="1"/>
      </tp>
      <tp>
        <v>12994.09</v>
        <stp/>
        <stp>788</stp>
        <stp>19699750</stp>
        <tr r="J19" s="1"/>
        <tr r="J19" s="1"/>
      </tp>
      <tp>
        <v>162.38</v>
        <stp/>
        <stp>688</stp>
        <stp>19699750</stp>
        <tr r="V40" s="1"/>
      </tp>
      <tp>
        <v>911.85</v>
        <stp/>
        <stp>389</stp>
        <stp>19699750</stp>
        <tr r="K22" s="1"/>
        <tr r="K22" s="1"/>
      </tp>
      <tp>
        <v>-0.2</v>
        <stp/>
        <stp>289</stp>
        <stp>19699750</stp>
        <tr r="O49" s="1"/>
      </tp>
      <tp>
        <v>2447.25</v>
        <stp/>
        <stp>589</stp>
        <stp>19699750</stp>
        <tr r="J18" s="1"/>
      </tp>
      <tp>
        <v>45354.61</v>
        <stp/>
        <stp>489</stp>
        <stp>19699750</stp>
        <tr r="S46" s="1"/>
      </tp>
      <tp>
        <v>2074.2977000000001</v>
        <stp/>
        <stp>789</stp>
        <stp>19699750</stp>
        <tr r="K21" s="1"/>
      </tp>
      <tp>
        <v>3.05</v>
        <stp/>
        <stp>689</stp>
        <stp>19699750</stp>
        <tr r="O28" s="1"/>
      </tp>
      <tp>
        <v>2513.2199999999998</v>
        <stp/>
        <stp>384</stp>
        <stp>19699750</stp>
        <tr r="S18" s="1"/>
      </tp>
      <tp>
        <v>1482.45</v>
        <stp/>
        <stp>284</stp>
        <stp>19699750</stp>
        <tr r="J47" s="1"/>
        <tr r="J47" s="1"/>
      </tp>
      <tp>
        <v>5594.08</v>
        <stp/>
        <stp>584</stp>
        <stp>19699750</stp>
        <tr r="H14" s="1"/>
        <tr r="H14" s="1"/>
      </tp>
      <tp>
        <v>0.69525000000000003</v>
        <stp/>
        <stp>484</stp>
        <stp>19699750</stp>
        <tr r="L36" s="1"/>
      </tp>
      <tp>
        <v>24830.98</v>
        <stp/>
        <stp>784</stp>
        <stp>19699750</stp>
        <tr r="I17" s="1"/>
      </tp>
      <tp>
        <v>5509.43</v>
        <stp/>
        <stp>684</stp>
        <stp>19699750</stp>
        <tr r="J44" s="1"/>
      </tp>
      <tp>
        <v>51882.28</v>
        <stp/>
        <stp>385</stp>
        <stp>19699750</stp>
        <tr r="H20" s="1"/>
      </tp>
      <tp>
        <v>161.69499999999999</v>
        <stp/>
        <stp>285</stp>
        <stp>19699750</stp>
        <tr r="L40" s="1"/>
      </tp>
      <tp>
        <v>1.1435</v>
        <stp/>
        <stp>585</stp>
        <stp>19699750</stp>
        <tr r="U14" s="1"/>
      </tp>
      <tp>
        <v>7.8406500000000001</v>
        <stp/>
        <stp>485</stp>
        <stp>19699750</stp>
        <tr r="M38" s="1"/>
      </tp>
      <tp>
        <v>24626.89</v>
        <stp/>
        <stp>785</stp>
        <stp>19699750</stp>
        <tr r="I17" s="1"/>
        <tr r="I17" s="1"/>
      </tp>
      <tp>
        <v>4997.93</v>
        <stp/>
        <stp>685</stp>
        <stp>19699750</stp>
        <tr r="J44" s="1"/>
        <tr r="J44" s="1"/>
      </tp>
      <tp>
        <v>52614.17</v>
        <stp/>
        <stp>386</stp>
        <stp>19699750</stp>
        <tr r="H20" s="1"/>
        <tr r="H20" s="1"/>
      </tp>
      <tp>
        <v>0.56505000000000005</v>
        <stp/>
        <stp>286</stp>
        <stp>19699750</stp>
        <tr r="M42" s="1"/>
      </tp>
      <tp>
        <v>8377.86</v>
        <stp/>
        <stp>586</stp>
        <stp>19699750</stp>
        <tr r="I16" s="1"/>
      </tp>
      <tp>
        <v>2.4300000000000002</v>
        <stp/>
        <stp>486</stp>
        <stp>19699750</stp>
        <tr r="N40" s="1"/>
      </tp>
      <tp>
        <v>1.1440999999999999</v>
        <stp/>
        <stp>786</stp>
        <stp>19699750</stp>
        <tr r="V17" s="1"/>
      </tp>
      <tp>
        <v>42671.27</v>
        <stp/>
        <stp>686</stp>
        <stp>19699750</stp>
        <tr r="K46" s="1"/>
      </tp>
      <tp>
        <v>1.1435</v>
        <stp/>
        <stp>387</stp>
        <stp>19699750</stp>
        <tr r="U20" s="1"/>
      </tp>
      <tp>
        <v>1.73</v>
        <stp/>
        <stp>287</stp>
        <stp>19699750</stp>
        <tr r="N44" s="1"/>
      </tp>
      <tp>
        <v>8367.33</v>
        <stp/>
        <stp>587</stp>
        <stp>19699750</stp>
        <tr r="I16" s="1"/>
        <tr r="I16" s="1"/>
      </tp>
      <tp>
        <v>1.46</v>
        <stp/>
        <stp>487</stp>
        <stp>19699750</stp>
        <tr r="O42" s="1"/>
      </tp>
      <tp>
        <v>13565.74</v>
        <stp/>
        <stp>787</stp>
        <stp>19699750</stp>
        <tr r="J19" s="1"/>
      </tp>
      <tp>
        <v>23383.13</v>
        <stp/>
        <stp>687</stp>
        <stp>19699750</stp>
        <tr r="K46" s="1"/>
        <tr r="K46" s="1"/>
      </tp>
      <tp>
        <v>7533.77</v>
        <stp/>
        <stp>380</stp>
        <stp>19699750</stp>
        <tr r="H11" s="1"/>
      </tp>
      <tp>
        <v>6820.6</v>
        <stp/>
        <stp>280</stp>
        <stp>19699750</stp>
        <tr r="I45" s="1"/>
      </tp>
      <tp>
        <v>34346.29</v>
        <stp/>
        <stp>580</stp>
        <stp>19699750</stp>
        <tr r="J9" s="1"/>
        <tr r="J9" s="1"/>
      </tp>
      <tp>
        <v>3.7949000000000002</v>
        <stp/>
        <stp>480</stp>
        <stp>19699750</stp>
        <tr r="U31" s="1"/>
      </tp>
      <tp>
        <v>6484.89</v>
        <stp/>
        <stp>780</stp>
        <stp>19699750</stp>
        <tr r="S13" s="1"/>
      </tp>
      <tp>
        <v>162.44999999999999</v>
        <stp/>
        <stp>680</stp>
        <stp>19699750</stp>
        <tr r="U40" s="1"/>
      </tp>
      <tp>
        <v>7575.39</v>
        <stp/>
        <stp>381</stp>
        <stp>19699750</stp>
        <tr r="H11" s="1"/>
        <tr r="H11" s="1"/>
      </tp>
      <tp>
        <v>8394.65</v>
        <stp/>
        <stp>281</stp>
        <stp>19699750</stp>
        <tr r="I45" s="1"/>
        <tr r="I45" s="1"/>
      </tp>
      <tp>
        <v>7533.77</v>
        <stp/>
        <stp>581</stp>
        <stp>19699750</stp>
        <tr r="K11" s="1"/>
      </tp>
      <tp>
        <v>14267.19</v>
        <stp/>
        <stp>481</stp>
        <stp>19699750</stp>
        <tr r="I33" s="1"/>
      </tp>
      <tp>
        <v>6174.83</v>
        <stp/>
        <stp>781</stp>
        <stp>19699750</stp>
        <tr r="H15" s="1"/>
      </tp>
      <tp>
        <v>13694.68</v>
        <stp/>
        <stp>681</stp>
        <stp>19699750</stp>
        <tr r="I42" s="1"/>
      </tp>
      <tp>
        <v>1.1596</v>
        <stp/>
        <stp>382</stp>
        <stp>19699750</stp>
        <tr r="O14" s="1"/>
      </tp>
      <tp>
        <v>1479.37</v>
        <stp/>
        <stp>282</stp>
        <stp>19699750</stp>
        <tr r="V45" s="1"/>
      </tp>
      <tp>
        <v>6297.36</v>
        <stp/>
        <stp>582</stp>
        <stp>19699750</stp>
        <tr r="K11" s="1"/>
        <tr r="K11" s="1"/>
      </tp>
      <tp>
        <v>14223.9</v>
        <stp/>
        <stp>482</stp>
        <stp>19699750</stp>
        <tr r="I33" s="1"/>
        <tr r="I33" s="1"/>
      </tp>
      <tp>
        <v>6175.79</v>
        <stp/>
        <stp>782</stp>
        <stp>19699750</stp>
        <tr r="H15" s="1"/>
        <tr r="H15" s="1"/>
      </tp>
      <tp>
        <v>13545.56</v>
        <stp/>
        <stp>682</stp>
        <stp>19699750</stp>
        <tr r="I42" s="1"/>
        <tr r="I42" s="1"/>
      </tp>
      <tp>
        <v>8377.86</v>
        <stp/>
        <stp>383</stp>
        <stp>19699750</stp>
        <tr r="R16" s="1"/>
      </tp>
      <tp>
        <v>1639.04</v>
        <stp/>
        <stp>283</stp>
        <stp>19699750</stp>
        <tr r="J47" s="1"/>
      </tp>
      <tp>
        <v>5617.84</v>
        <stp/>
        <stp>583</stp>
        <stp>19699750</stp>
        <tr r="H14" s="1"/>
      </tp>
      <tp>
        <v>0.80859999999999999</v>
        <stp/>
        <stp>483</stp>
        <stp>19699750</stp>
        <tr r="V33" s="1"/>
      </tp>
      <tp>
        <v>1.1435</v>
        <stp/>
        <stp>783</stp>
        <stp>19699750</stp>
        <tr r="U15" s="1"/>
      </tp>
      <tp>
        <v>0.58399999999999996</v>
        <stp/>
        <stp>683</stp>
        <stp>19699750</stp>
        <tr r="V42" s="1"/>
      </tp>
      <tp>
        <v>10600.37</v>
        <stp/>
        <stp>838</stp>
        <stp>19699750</stp>
        <tr r="K27" s="1"/>
      </tp>
      <tp>
        <v>2584.41</v>
        <stp/>
        <stp>338</stp>
        <stp>19699750</stp>
        <tr r="H28" s="1"/>
      </tp>
      <tp>
        <v>7126.06</v>
        <stp/>
        <stp>538</stp>
        <stp>19699750</stp>
        <tr r="J11" s="1"/>
        <tr r="J11" s="1"/>
      </tp>
      <tp>
        <v>2572.46</v>
        <stp/>
        <stp>438</stp>
        <stp>19699750</stp>
        <tr r="I28" s="1"/>
        <tr r="I28" s="1"/>
      </tp>
      <tp>
        <v>9.6379000000000001</v>
        <stp/>
        <stp>738</stp>
        <stp>19699750</stp>
        <tr r="U30" s="1"/>
      </tp>
      <tp>
        <v>21.230499999999999</v>
        <stp/>
        <stp>638</stp>
        <stp>19699750</stp>
        <tr r="M28" s="1"/>
      </tp>
      <tp>
        <v>8992.1200000000008</v>
        <stp/>
        <stp>839</stp>
        <stp>19699750</stp>
        <tr r="K27" s="1"/>
        <tr r="K27" s="1"/>
      </tp>
      <tp>
        <v>2627.76</v>
        <stp/>
        <stp>339</stp>
        <stp>19699750</stp>
        <tr r="H28" s="1"/>
        <tr r="H28" s="1"/>
      </tp>
      <tp>
        <v>5594.08</v>
        <stp/>
        <stp>539</stp>
        <stp>19699750</stp>
        <tr r="S14" s="1"/>
      </tp>
      <tp>
        <v>21.152999999999999</v>
        <stp/>
        <stp>439</stp>
        <stp>19699750</stp>
        <tr r="V28" s="1"/>
      </tp>
      <tp>
        <v>5.1097000000000001</v>
        <stp/>
        <stp>739</stp>
        <stp>19699750</stp>
        <tr r="U8" s="1"/>
      </tp>
      <tp>
        <v>2299.33</v>
        <stp/>
        <stp>639</stp>
        <stp>19699750</stp>
        <tr r="R30" s="1"/>
      </tp>
      <tp>
        <v>1065.3399999999999</v>
        <stp/>
        <stp>834</stp>
        <stp>19699750</stp>
        <tr r="I22" s="1"/>
        <tr r="I22" s="1"/>
      </tp>
      <tp>
        <v>1.1413500000000001</v>
        <stp/>
        <stp>334</stp>
        <stp>19699750</stp>
        <tr r="L19" s="1"/>
      </tp>
      <tp>
        <v>35340.15</v>
        <stp/>
        <stp>534</stp>
        <stp>19699750</stp>
        <tr r="I9" s="1"/>
      </tp>
      <tp>
        <v>19216.900000000001</v>
        <stp/>
        <stp>434</stp>
        <stp>19699750</stp>
        <tr r="H25" s="1"/>
      </tp>
      <tp>
        <v>1786.32</v>
        <stp/>
        <stp>734</stp>
        <stp>19699750</stp>
        <tr r="J29" s="1"/>
        <tr r="J29" s="1"/>
      </tp>
      <tp>
        <v>2083.9962999999998</v>
        <stp/>
        <stp>634</stp>
        <stp>19699750</stp>
        <tr r="H21" s="1"/>
        <tr r="H21" s="1"/>
      </tp>
      <tp>
        <v>1.1440999999999999</v>
        <stp/>
        <stp>835</stp>
        <stp>19699750</stp>
        <tr r="V22" s="1"/>
      </tp>
      <tp>
        <v>1.1422000000000001</v>
        <stp/>
        <stp>335</stp>
        <stp>19699750</stp>
        <tr r="M21" s="1"/>
      </tp>
      <tp>
        <v>34823.82</v>
        <stp/>
        <stp>535</stp>
        <stp>19699750</stp>
        <tr r="I9" s="1"/>
        <tr r="I9" s="1"/>
      </tp>
      <tp>
        <v>19384.7</v>
        <stp/>
        <stp>435</stp>
        <stp>19699750</stp>
        <tr r="H25" s="1"/>
        <tr r="H25" s="1"/>
      </tp>
      <tp>
        <v>3.7542</v>
        <stp/>
        <stp>735</stp>
        <stp>19699750</stp>
        <tr r="M31" s="1"/>
      </tp>
      <tp>
        <v>9062.26</v>
        <stp/>
        <stp>635</stp>
        <stp>19699750</stp>
        <tr r="K23" s="1"/>
      </tp>
      <tp>
        <v>3184.38</v>
        <stp/>
        <stp>836</stp>
        <stp>19699750</stp>
        <tr r="J24" s="1"/>
      </tp>
      <tp>
        <v>9062.26</v>
        <stp/>
        <stp>336</stp>
        <stp>19699750</stp>
        <tr r="R23" s="1"/>
      </tp>
      <tp>
        <v>1.4040999999999999</v>
        <stp/>
        <stp>536</stp>
        <stp>19699750</stp>
        <tr r="V9" s="1"/>
      </tp>
      <tp>
        <v>1.1435</v>
        <stp/>
        <stp>436</stp>
        <stp>19699750</stp>
        <tr r="U25" s="1"/>
      </tp>
      <tp>
        <v>24562.240000000002</v>
        <stp/>
        <stp>736</stp>
        <stp>19699750</stp>
        <tr r="H38" s="1"/>
      </tp>
      <tp>
        <v>7674.13</v>
        <stp/>
        <stp>636</stp>
        <stp>19699750</stp>
        <tr r="K23" s="1"/>
        <tr r="K23" s="1"/>
      </tp>
      <tp>
        <v>2971.04</v>
        <stp/>
        <stp>837</stp>
        <stp>19699750</stp>
        <tr r="J24" s="1"/>
        <tr r="J24" s="1"/>
      </tp>
      <tp>
        <v>19384.7</v>
        <stp/>
        <stp>337</stp>
        <stp>19699750</stp>
        <tr r="S25" s="1"/>
      </tp>
      <tp>
        <v>7533.77</v>
        <stp/>
        <stp>537</stp>
        <stp>19699750</stp>
        <tr r="J11" s="1"/>
      </tp>
      <tp>
        <v>2584.41</v>
        <stp/>
        <stp>437</stp>
        <stp>19699750</stp>
        <tr r="I28" s="1"/>
      </tp>
      <tp>
        <v>24175.119999999999</v>
        <stp/>
        <stp>737</stp>
        <stp>19699750</stp>
        <tr r="H38" s="1"/>
        <tr r="H38" s="1"/>
      </tp>
      <tp>
        <v>1.1413500000000001</v>
        <stp/>
        <stp>637</stp>
        <stp>19699750</stp>
        <tr r="L25" s="1"/>
      </tp>
      <tp>
        <v>-2.79</v>
        <stp/>
        <stp>830</stp>
        <stp>19699750</stp>
        <tr r="N16" s="1"/>
      </tp>
      <tp>
        <v>6174.83</v>
        <stp/>
        <stp>330</stp>
        <stp>19699750</stp>
        <tr r="J15" s="1"/>
      </tp>
      <tp>
        <v>24562.240000000002</v>
        <stp/>
        <stp>530</stp>
        <stp>19699750</stp>
        <tr r="R38" s="1"/>
      </tp>
      <tp>
        <v>1.1413500000000001</v>
        <stp/>
        <stp>430</stp>
        <stp>19699750</stp>
        <tr r="L17" s="1"/>
      </tp>
      <tp>
        <v>1.1422000000000001</v>
        <stp/>
        <stp>730</stp>
        <stp>19699750</stp>
        <tr r="M18" s="1"/>
      </tp>
      <tp>
        <v>1.1596</v>
        <stp/>
        <stp>630</stp>
        <stp>19699750</stp>
        <tr r="O15" s="1"/>
      </tp>
      <tp>
        <v>1.1596</v>
        <stp/>
        <stp>831</stp>
        <stp>19699750</stp>
        <tr r="O18" s="1"/>
      </tp>
      <tp>
        <v>6291.81</v>
        <stp/>
        <stp>331</stp>
        <stp>19699750</stp>
        <tr r="J15" s="1"/>
        <tr r="J15" s="1"/>
      </tp>
      <tp>
        <v>1.2897000000000001</v>
        <stp/>
        <stp>531</stp>
        <stp>19699750</stp>
        <tr r="V44" s="1"/>
      </tp>
      <tp>
        <v>1.1422000000000001</v>
        <stp/>
        <stp>431</stp>
        <stp>19699750</stp>
        <tr r="M19" s="1"/>
      </tp>
      <tp>
        <v>-2.79</v>
        <stp/>
        <stp>731</stp>
        <stp>19699750</stp>
        <tr r="N20" s="1"/>
      </tp>
      <tp>
        <v>24830.98</v>
        <stp/>
        <stp>631</stp>
        <stp>19699750</stp>
        <tr r="R17" s="1"/>
      </tp>
      <tp>
        <v>51882.28</v>
        <stp/>
        <stp>832</stp>
        <stp>19699750</stp>
        <tr r="R20" s="1"/>
      </tp>
      <tp>
        <v>24830.98</v>
        <stp/>
        <stp>332</stp>
        <stp>19699750</stp>
        <tr r="K17" s="1"/>
      </tp>
      <tp>
        <v>-2.79</v>
        <stp/>
        <stp>532</stp>
        <stp>19699750</stp>
        <tr r="N25" s="1"/>
      </tp>
      <tp>
        <v>-2.79</v>
        <stp/>
        <stp>432</stp>
        <stp>19699750</stp>
        <tr r="N21" s="1"/>
      </tp>
      <tp>
        <v>1084.23</v>
        <stp/>
        <stp>732</stp>
        <stp>19699750</stp>
        <tr r="S22" s="1"/>
      </tp>
      <tp>
        <v>13884.39</v>
        <stp/>
        <stp>632</stp>
        <stp>19699750</stp>
        <tr r="S19" s="1"/>
      </tp>
      <tp>
        <v>1102.3800000000001</v>
        <stp/>
        <stp>833</stp>
        <stp>19699750</stp>
        <tr r="I22" s="1"/>
      </tp>
      <tp>
        <v>24289.51</v>
        <stp/>
        <stp>333</stp>
        <stp>19699750</stp>
        <tr r="K17" s="1"/>
        <tr r="K17" s="1"/>
      </tp>
      <tp>
        <v>6.7939499999999997</v>
        <stp/>
        <stp>533</stp>
        <stp>19699750</stp>
        <tr r="M37" s="1"/>
      </tp>
      <tp>
        <v>9106.84</v>
        <stp/>
        <stp>433</stp>
        <stp>19699750</stp>
        <tr r="S23" s="1"/>
      </tp>
      <tp>
        <v>1901.97</v>
        <stp/>
        <stp>733</stp>
        <stp>19699750</stp>
        <tr r="J29" s="1"/>
      </tp>
      <tp>
        <v>2074.2977000000001</v>
        <stp/>
        <stp>633</stp>
        <stp>19699750</stp>
        <tr r="H21" s="1"/>
      </tp>
      <tp>
        <v>2.11</v>
        <stp/>
        <stp>828</stp>
        <stp>19699750</stp>
        <tr r="O9" s="1"/>
      </tp>
      <tp>
        <v>6351.75</v>
        <stp/>
        <stp>328</stp>
        <stp>19699750</stp>
        <tr r="I13" s="1"/>
        <tr r="I13" s="1"/>
      </tp>
      <tp>
        <v>1901.97</v>
        <stp/>
        <stp>528</stp>
        <stp>19699750</stp>
        <tr r="H29" s="1"/>
      </tp>
      <tp>
        <v>6174.83</v>
        <stp/>
        <stp>428</stp>
        <stp>19699750</stp>
        <tr r="K15" s="1"/>
      </tp>
      <tp>
        <v>4544.3900000000003</v>
        <stp/>
        <stp>728</stp>
        <stp>19699750</stp>
        <tr r="K14" s="1"/>
        <tr r="K14" s="1"/>
      </tp>
      <tp>
        <v>66496.100000000006</v>
        <stp/>
        <stp>628</stp>
        <stp>19699750</stp>
        <tr r="S10" s="1"/>
      </tp>
      <tp>
        <v>1.1422000000000001</v>
        <stp/>
        <stp>829</stp>
        <stp>19699750</stp>
        <tr r="M14" s="1"/>
      </tp>
      <tp>
        <v>1.1440999999999999</v>
        <stp/>
        <stp>329</stp>
        <stp>19699750</stp>
        <tr r="V13" s="1"/>
      </tp>
      <tp>
        <v>1871.46</v>
        <stp/>
        <stp>529</stp>
        <stp>19699750</stp>
        <tr r="H29" s="1"/>
        <tr r="H29" s="1"/>
      </tp>
      <tp>
        <v>4836.3</v>
        <stp/>
        <stp>429</stp>
        <stp>19699750</stp>
        <tr r="K15" s="1"/>
        <tr r="K15" s="1"/>
      </tp>
      <tp>
        <v>1.1413500000000001</v>
        <stp/>
        <stp>729</stp>
        <stp>19699750</stp>
        <tr r="L16" s="1"/>
      </tp>
      <tp>
        <v>-2.79</v>
        <stp/>
        <stp>629</stp>
        <stp>19699750</stp>
        <tr r="N13" s="1"/>
      </tp>
      <tp>
        <v>1.1435</v>
        <stp/>
        <stp>824</stp>
        <stp>19699750</stp>
        <tr r="U17" s="1"/>
      </tp>
      <tp>
        <v>173825.27</v>
        <stp/>
        <stp>324</stp>
        <stp>19699750</stp>
        <tr r="K8" s="1"/>
      </tp>
      <tp>
        <v>9159.49</v>
        <stp/>
        <stp>524</stp>
        <stp>19699750</stp>
        <tr r="I23" s="1"/>
        <tr r="I23" s="1"/>
      </tp>
      <tp>
        <v>5.1094499999999998</v>
        <stp/>
        <stp>424</stp>
        <stp>19699750</stp>
        <tr r="L8" s="1"/>
      </tp>
      <tp>
        <v>2074.2977000000001</v>
        <stp/>
        <stp>724</stp>
        <stp>19699750</stp>
        <tr r="J21" s="1"/>
      </tp>
      <tp>
        <v>2964.25</v>
        <stp/>
        <stp>624</stp>
        <stp>19699750</stp>
        <tr r="K31" s="1"/>
        <tr r="K31" s="1"/>
      </tp>
      <tp>
        <v>2299.33</v>
        <stp/>
        <stp>825</stp>
        <stp>19699750</stp>
        <tr r="H30" s="1"/>
      </tp>
      <tp>
        <v>135564.74</v>
        <stp/>
        <stp>325</stp>
        <stp>19699750</stp>
        <tr r="K8" s="1"/>
        <tr r="K8" s="1"/>
      </tp>
      <tp>
        <v>1.1440999999999999</v>
        <stp/>
        <stp>525</stp>
        <stp>19699750</stp>
        <tr r="V23" s="1"/>
      </tp>
      <tp>
        <v>17.472000000000001</v>
        <stp/>
        <stp>425</stp>
        <stp>19699750</stp>
        <tr r="M10" s="1"/>
      </tp>
      <tp>
        <v>2060.1430999999998</v>
        <stp/>
        <stp>725</stp>
        <stp>19699750</stp>
        <tr r="J21" s="1"/>
        <tr r="J21" s="1"/>
      </tp>
      <tp>
        <v>68557.73</v>
        <stp/>
        <stp>625</stp>
        <stp>19699750</stp>
        <tr r="S40" s="1"/>
      </tp>
      <tp>
        <v>2262.17</v>
        <stp/>
        <stp>826</stp>
        <stp>19699750</stp>
        <tr r="H30" s="1"/>
        <tr r="H30" s="1"/>
      </tp>
      <tp>
        <v>17.465</v>
        <stp/>
        <stp>326</stp>
        <stp>19699750</stp>
        <tr r="L10" s="1"/>
      </tp>
      <tp>
        <v>35340.15</v>
        <stp/>
        <stp>526</stp>
        <stp>19699750</stp>
        <tr r="K9" s="1"/>
      </tp>
      <tp>
        <v>6364.91</v>
        <stp/>
        <stp>426</stp>
        <stp>19699750</stp>
        <tr r="J13" s="1"/>
      </tp>
      <tp>
        <v>1.4210499999999999</v>
        <stp/>
        <stp>726</stp>
        <stp>19699750</stp>
        <tr r="M9" s="1"/>
      </tp>
      <tp>
        <v>-6.71</v>
        <stp/>
        <stp>626</stp>
        <stp>19699750</stp>
        <tr r="O8" s="1"/>
      </tp>
      <tp>
        <v>7475.94</v>
        <stp/>
        <stp>827</stp>
        <stp>19699750</stp>
        <tr r="S45" s="1"/>
      </tp>
      <tp>
        <v>6364.91</v>
        <stp/>
        <stp>327</stp>
        <stp>19699750</stp>
        <tr r="I13" s="1"/>
      </tp>
      <tp>
        <v>27386.93</v>
        <stp/>
        <stp>527</stp>
        <stp>19699750</stp>
        <tr r="K9" s="1"/>
        <tr r="K9" s="1"/>
      </tp>
      <tp>
        <v>5957.7</v>
        <stp/>
        <stp>427</stp>
        <stp>19699750</stp>
        <tr r="J13" s="1"/>
        <tr r="J13" s="1"/>
      </tp>
      <tp>
        <v>5630.21</v>
        <stp/>
        <stp>727</stp>
        <stp>19699750</stp>
        <tr r="K14" s="1"/>
      </tp>
      <tp>
        <v>173825.27</v>
        <stp/>
        <stp>627</stp>
        <stp>19699750</stp>
        <tr r="R8" s="1"/>
      </tp>
      <tp>
        <v>1.29295</v>
        <stp/>
        <stp>820</stp>
        <stp>19699750</stp>
        <tr r="M44" s="1"/>
      </tp>
      <tp>
        <v>8796.7000000000007</v>
        <stp/>
        <stp>320</stp>
        <stp>19699750</stp>
        <tr r="J36" s="1"/>
      </tp>
      <tp>
        <v>76728.37</v>
        <stp/>
        <stp>520</stp>
        <stp>19699750</stp>
        <tr r="I39" s="1"/>
        <tr r="I39" s="1"/>
      </tp>
      <tp>
        <v>77</v>
        <stp/>
        <stp>420</stp>
        <stp>19699750</stp>
        <tr r="L43" s="1"/>
      </tp>
      <tp>
        <v>1.3475999999999999</v>
        <stp/>
        <stp>720</stp>
        <stp>19699750</stp>
        <tr r="V27" s="1"/>
      </tp>
      <tp>
        <v>8425.1299999999992</v>
        <stp/>
        <stp>620</stp>
        <stp>19699750</stp>
        <tr r="J16" s="1"/>
        <tr r="J16" s="1"/>
      </tp>
      <tp>
        <v>2.9</v>
        <stp/>
        <stp>821</stp>
        <stp>19699750</stp>
        <tr r="N46" s="1"/>
      </tp>
      <tp>
        <v>8946.9</v>
        <stp/>
        <stp>321</stp>
        <stp>19699750</stp>
        <tr r="J36" s="1"/>
        <tr r="J36" s="1"/>
      </tp>
      <tp>
        <v>96.344999999999999</v>
        <stp/>
        <stp>521</stp>
        <stp>19699750</stp>
        <tr r="V39" s="1"/>
      </tp>
      <tp>
        <v>10497.29</v>
        <stp/>
        <stp>421</stp>
        <stp>19699750</stp>
        <tr r="S27" s="1"/>
      </tp>
      <tp>
        <v>3.31</v>
        <stp/>
        <stp>721</stp>
        <stp>19699750</stp>
        <tr r="N33" s="1"/>
      </tp>
      <tp>
        <v>2447.25</v>
        <stp/>
        <stp>621</stp>
        <stp>19699750</stp>
        <tr r="K18" s="1"/>
      </tp>
      <tp>
        <v>1.43</v>
        <stp/>
        <stp>822</stp>
        <stp>19699750</stp>
        <tr r="N49" s="1"/>
      </tp>
      <tp>
        <v>24562.240000000002</v>
        <stp/>
        <stp>322</stp>
        <stp>19699750</stp>
        <tr r="K38" s="1"/>
      </tp>
      <tp>
        <v>32.375999999999998</v>
        <stp/>
        <stp>522</stp>
        <stp>19699750</stp>
        <tr r="U46" s="1"/>
      </tp>
      <tp>
        <v>32.115000000000002</v>
        <stp/>
        <stp>422</stp>
        <stp>19699750</stp>
        <tr r="L46" s="1"/>
      </tp>
      <tp>
        <v>8806</v>
        <stp/>
        <stp>722</stp>
        <stp>19699750</stp>
        <tr r="S36" s="1"/>
      </tp>
      <tp>
        <v>1985.52</v>
        <stp/>
        <stp>622</stp>
        <stp>19699750</stp>
        <tr r="K18" s="1"/>
        <tr r="K18" s="1"/>
      </tp>
      <tp>
        <v>0.58399999999999996</v>
        <stp/>
        <stp>823</stp>
        <stp>19699750</stp>
        <tr r="U42" s="1"/>
      </tp>
      <tp>
        <v>24825.66</v>
        <stp/>
        <stp>323</stp>
        <stp>19699750</stp>
        <tr r="K38" s="1"/>
        <tr r="K38" s="1"/>
      </tp>
      <tp>
        <v>9062.26</v>
        <stp/>
        <stp>523</stp>
        <stp>19699750</stp>
        <tr r="I23" s="1"/>
      </tp>
      <tp>
        <v>9.6304999999999996</v>
        <stp/>
        <stp>423</stp>
        <stp>19699750</stp>
        <tr r="V32" s="1"/>
      </tp>
      <tp>
        <v>16.361699999999999</v>
        <stp/>
        <stp>723</stp>
        <stp>19699750</stp>
        <tr r="L49" s="1"/>
      </tp>
      <tp>
        <v>3766.41</v>
        <stp/>
        <stp>623</stp>
        <stp>19699750</stp>
        <tr r="K31" s="1"/>
      </tp>
      <tp>
        <v>39819.11</v>
        <stp/>
        <stp>818</stp>
        <stp>19699750</stp>
        <tr r="K40" s="1"/>
        <tr r="K40" s="1"/>
      </tp>
      <tp>
        <v>3766.41</v>
        <stp/>
        <stp>318</stp>
        <stp>19699750</stp>
        <tr r="R31" s="1"/>
      </tp>
      <tp>
        <v>3996.1615999999999</v>
        <stp/>
        <stp>518</stp>
        <stp>19699750</stp>
        <tr r="H37" s="1"/>
        <tr r="H37" s="1"/>
      </tp>
      <tp>
        <v>2.96</v>
        <stp/>
        <stp>418</stp>
        <stp>19699750</stp>
        <tr r="N30" s="1"/>
      </tp>
      <tp>
        <v>3185.8</v>
        <stp/>
        <stp>718</stp>
        <stp>19699750</stp>
        <tr r="H24" s="1"/>
      </tp>
      <tp>
        <v>6.83</v>
        <stp/>
        <stp>618</stp>
        <stp>19699750</stp>
        <tr r="O47" s="1"/>
      </tp>
      <tp>
        <v>0.57615000000000005</v>
        <stp/>
        <stp>819</stp>
        <stp>19699750</stp>
        <tr r="L42" s="1"/>
      </tp>
      <tp>
        <v>14235.09</v>
        <stp/>
        <stp>319</stp>
        <stp>19699750</stp>
        <tr r="S33" s="1"/>
      </tp>
      <tp>
        <v>78151.45</v>
        <stp/>
        <stp>519</stp>
        <stp>19699750</stp>
        <tr r="I39" s="1"/>
      </tp>
      <tp>
        <v>44.6905</v>
        <stp/>
        <stp>419</stp>
        <stp>19699750</stp>
        <tr r="U34" s="1"/>
      </tp>
      <tp>
        <v>3134.98</v>
        <stp/>
        <stp>719</stp>
        <stp>19699750</stp>
        <tr r="H24" s="1"/>
        <tr r="H24" s="1"/>
      </tp>
      <tp>
        <v>8338.81</v>
        <stp/>
        <stp>619</stp>
        <stp>19699750</stp>
        <tr r="J16" s="1"/>
      </tp>
      <tp>
        <v>0.6996</v>
        <stp/>
        <stp>814</stp>
        <stp>19699750</stp>
        <tr r="V36" s="1"/>
      </tp>
      <tp>
        <v>3184.38</v>
        <stp/>
        <stp>314</stp>
        <stp>19699750</stp>
        <tr r="K24" s="1"/>
      </tp>
      <tp>
        <v>-2.79</v>
        <stp/>
        <stp>514</stp>
        <stp>19699750</stp>
        <tr r="N19" s="1"/>
      </tp>
      <tp>
        <v>6.7759999999999998</v>
        <stp/>
        <stp>414</stp>
        <stp>19699750</stp>
        <tr r="U37" s="1"/>
      </tp>
      <tp>
        <v>3.54</v>
        <stp/>
        <stp>714</stp>
        <stp>19699750</stp>
        <tr r="N41" s="1"/>
      </tp>
      <tp>
        <v>1.1422000000000001</v>
        <stp/>
        <stp>614</stp>
        <stp>19699750</stp>
        <tr r="M13" s="1"/>
      </tp>
      <tp>
        <v>24562.240000000002</v>
        <stp/>
        <stp>815</stp>
        <stp>19699750</stp>
        <tr r="J38" s="1"/>
      </tp>
      <tp>
        <v>2344.31</v>
        <stp/>
        <stp>315</stp>
        <stp>19699750</stp>
        <tr r="K24" s="1"/>
        <tr r="K24" s="1"/>
      </tp>
      <tp>
        <v>1.1596</v>
        <stp/>
        <stp>515</stp>
        <stp>19699750</stp>
        <tr r="O21" s="1"/>
      </tp>
      <tp>
        <v>3215.91</v>
        <stp/>
        <stp>415</stp>
        <stp>19699750</stp>
        <tr r="K43" s="1"/>
      </tp>
      <tp>
        <v>-0.7</v>
        <stp/>
        <stp>715</stp>
        <stp>19699750</stp>
        <tr r="O43" s="1"/>
      </tp>
      <tp>
        <v>-2.79</v>
        <stp/>
        <stp>615</stp>
        <stp>19699750</stp>
        <tr r="N15" s="1"/>
      </tp>
      <tp>
        <v>26160.33</v>
        <stp/>
        <stp>816</stp>
        <stp>19699750</stp>
        <tr r="J38" s="1"/>
        <tr r="J38" s="1"/>
      </tp>
      <tp>
        <v>1.3407500000000001</v>
        <stp/>
        <stp>316</stp>
        <stp>19699750</stp>
        <tr r="L27" s="1"/>
      </tp>
      <tp>
        <v>5.44</v>
        <stp/>
        <stp>516</stp>
        <stp>19699750</stp>
        <tr r="N32" s="1"/>
      </tp>
      <tp>
        <v>3215.91</v>
        <stp/>
        <stp>416</stp>
        <stp>19699750</stp>
        <tr r="K43" s="1"/>
        <tr r="K43" s="1"/>
      </tp>
      <tp>
        <v>6820.6</v>
        <stp/>
        <stp>716</stp>
        <stp>19699750</stp>
        <tr r="R45" s="1"/>
      </tp>
      <tp>
        <v>1.1596</v>
        <stp/>
        <stp>616</stp>
        <stp>19699750</stp>
        <tr r="O17" s="1"/>
      </tp>
      <tp>
        <v>64141.120000000003</v>
        <stp/>
        <stp>817</stp>
        <stp>19699750</stp>
        <tr r="K40" s="1"/>
      </tp>
      <tp>
        <v>6.5438999999999998</v>
        <stp/>
        <stp>317</stp>
        <stp>19699750</stp>
        <tr r="M29" s="1"/>
      </tp>
      <tp>
        <v>3764.1547</v>
        <stp/>
        <stp>517</stp>
        <stp>19699750</stp>
        <tr r="H37" s="1"/>
      </tp>
      <tp>
        <v>110355.39</v>
        <stp/>
        <stp>417</stp>
        <stp>19699750</stp>
        <tr r="S49" s="1"/>
      </tp>
      <tp>
        <v>1621.55</v>
        <stp/>
        <stp>717</stp>
        <stp>19699750</stp>
        <tr r="S47" s="1"/>
      </tp>
      <tp>
        <v>44.6312</v>
        <stp/>
        <stp>617</stp>
        <stp>19699750</stp>
        <tr r="V34" s="1"/>
      </tp>
      <tp>
        <v>33.57</v>
        <stp/>
        <stp>810</stp>
        <stp>19699750</stp>
        <tr r="V47" s="1"/>
      </tp>
      <tp>
        <v>2447.25</v>
        <stp/>
        <stp>310</stp>
        <stp>19699750</stp>
        <tr r="R18" s="1"/>
      </tp>
      <tp>
        <v>6364.91</v>
        <stp/>
        <stp>510</stp>
        <stp>19699750</stp>
        <tr r="K13" s="1"/>
      </tp>
      <tp>
        <v>3188.07</v>
        <stp/>
        <stp>410</stp>
        <stp>19699750</stp>
        <tr r="K45" s="1"/>
        <tr r="K45" s="1"/>
      </tp>
      <tp t="s">
        <v>Unable to resolve all requested identifiers.</v>
        <stp/>
        <stp>710</stp>
        <stp>19699750</stp>
        <tr r="I34" s="1"/>
      </tp>
      <tp>
        <v>32.256999999999998</v>
        <stp/>
        <stp>610</stp>
        <stp>19699750</stp>
        <tr r="V46" s="1"/>
      </tp>
      <tp>
        <v>14267.19</v>
        <stp/>
        <stp>811</stp>
        <stp>19699750</stp>
        <tr r="R33" s="1"/>
      </tp>
      <tp>
        <v>52614.17</v>
        <stp/>
        <stp>311</stp>
        <stp>19699750</stp>
        <tr r="S20" s="1"/>
      </tp>
      <tp>
        <v>4485.47</v>
        <stp/>
        <stp>511</stp>
        <stp>19699750</stp>
        <tr r="K13" s="1"/>
        <tr r="K13" s="1"/>
      </tp>
      <tp>
        <v>2584.41</v>
        <stp/>
        <stp>411</stp>
        <stp>19699750</stp>
        <tr r="J28" s="1"/>
      </tp>
      <tp t="s">
        <v>Unable to resolve all requested identifiers.</v>
        <stp/>
        <stp>711</stp>
        <stp>19699750</stp>
        <tr r="I34" s="1"/>
        <tr r="I34" s="1"/>
      </tp>
      <tp>
        <v>109569.92</v>
        <stp/>
        <stp>611</stp>
        <stp>19699750</stp>
        <tr r="I49" s="1"/>
      </tp>
      <tp>
        <v>8796.7000000000007</v>
        <stp/>
        <stp>812</stp>
        <stp>19699750</stp>
        <tr r="I36" s="1"/>
      </tp>
      <tp>
        <v>1091.97</v>
        <stp/>
        <stp>312</stp>
        <stp>19699750</stp>
        <tr r="J22" s="1"/>
      </tp>
      <tp>
        <v>1.1413500000000001</v>
        <stp/>
        <stp>512</stp>
        <stp>19699750</stp>
        <tr r="L15" s="1"/>
      </tp>
      <tp>
        <v>2699.6</v>
        <stp/>
        <stp>412</stp>
        <stp>19699750</stp>
        <tr r="J28" s="1"/>
        <tr r="J28" s="1"/>
      </tp>
      <tp>
        <v>6.7769500000000003</v>
        <stp/>
        <stp>712</stp>
        <stp>19699750</stp>
        <tr r="L37" s="1"/>
      </tp>
      <tp>
        <v>110271.44</v>
        <stp/>
        <stp>612</stp>
        <stp>19699750</stp>
        <tr r="I49" s="1"/>
        <tr r="I49" s="1"/>
      </tp>
      <tp>
        <v>8823.4</v>
        <stp/>
        <stp>813</stp>
        <stp>19699750</stp>
        <tr r="I36" s="1"/>
        <tr r="I36" s="1"/>
      </tp>
      <tp>
        <v>1023.68</v>
        <stp/>
        <stp>313</stp>
        <stp>19699750</stp>
        <tr r="J22" s="1"/>
        <tr r="J22" s="1"/>
      </tp>
      <tp>
        <v>1.1422000000000001</v>
        <stp/>
        <stp>513</stp>
        <stp>19699750</stp>
        <tr r="M17" s="1"/>
      </tp>
      <tp>
        <v>6.28</v>
        <stp/>
        <stp>413</stp>
        <stp>19699750</stp>
        <tr r="O34" s="1"/>
      </tp>
      <tp>
        <v>94.545000000000002</v>
        <stp/>
        <stp>713</stp>
        <stp>19699750</stp>
        <tr r="M39" s="1"/>
      </tp>
      <tp>
        <v>66356.09</v>
        <stp/>
        <stp>613</stp>
        <stp>19699750</stp>
        <tr r="R10" s="1"/>
      </tp>
      <tp>
        <v>1639.04</v>
        <stp/>
        <stp>808</stp>
        <stp>19699750</stp>
        <tr r="I47" s="1"/>
      </tp>
      <tp>
        <v>-2.79</v>
        <stp/>
        <stp>308</stp>
        <stp>19699750</stp>
        <tr r="N14" s="1"/>
      </tp>
      <tp>
        <v>5.17455</v>
        <stp/>
        <stp>508</stp>
        <stp>19699750</stp>
        <tr r="M8" s="1"/>
      </tp>
      <tp>
        <v>3215.91</v>
        <stp/>
        <stp>408</stp>
        <stp>19699750</stp>
        <tr r="J43" s="1"/>
        <tr r="J43" s="1"/>
      </tp>
      <tp>
        <v>3177.777</v>
        <stp/>
        <stp>708</stp>
        <stp>19699750</stp>
        <tr r="H32" s="1"/>
        <tr r="H32" s="1"/>
      </tp>
      <tp>
        <v>42671.27</v>
        <stp/>
        <stp>608</stp>
        <stp>19699750</stp>
        <tr r="I46" s="1"/>
      </tp>
      <tp>
        <v>1577.81</v>
        <stp/>
        <stp>809</stp>
        <stp>19699750</stp>
        <tr r="I47" s="1"/>
        <tr r="I47" s="1"/>
      </tp>
      <tp>
        <v>1.1596</v>
        <stp/>
        <stp>309</stp>
        <stp>19699750</stp>
        <tr r="O16" s="1"/>
      </tp>
      <tp>
        <v>1.36</v>
        <stp/>
        <stp>509</stp>
        <stp>19699750</stp>
        <tr r="N10" s="1"/>
      </tp>
      <tp>
        <v>6820.6</v>
        <stp/>
        <stp>409</stp>
        <stp>19699750</stp>
        <tr r="K45" s="1"/>
      </tp>
      <tp>
        <v>9.6519999999999992</v>
        <stp/>
        <stp>709</stp>
        <stp>19699750</stp>
        <tr r="U32" s="1"/>
      </tp>
      <tp>
        <v>44999.9</v>
        <stp/>
        <stp>609</stp>
        <stp>19699750</stp>
        <tr r="I46" s="1"/>
        <tr r="I46" s="1"/>
      </tp>
      <tp>
        <v>3215.91</v>
        <stp/>
        <stp>804</stp>
        <stp>19699750</stp>
        <tr r="S43" s="1"/>
      </tp>
      <tp>
        <v>1.1440999999999999</v>
        <stp/>
        <stp>304</stp>
        <stp>19699750</stp>
        <tr r="V19" s="1"/>
      </tp>
      <tp>
        <v>5539.38</v>
        <stp/>
        <stp>504</stp>
        <stp>19699750</stp>
        <tr r="I44" s="1"/>
      </tp>
      <tp>
        <v>16.5291</v>
        <stp/>
        <stp>404</stp>
        <stp>19699750</stp>
        <tr r="U49" s="1"/>
      </tp>
      <tp>
        <v>1.1422000000000001</v>
        <stp/>
        <stp>704</stp>
        <stp>19699750</stp>
        <tr r="M25" s="1"/>
      </tp>
      <tp>
        <v>13785.67</v>
        <stp/>
        <stp>604</stp>
        <stp>19699750</stp>
        <tr r="S42" s="1"/>
      </tp>
      <tp>
        <v>6820.6</v>
        <stp/>
        <stp>805</stp>
        <stp>19699750</stp>
        <tr r="H45" s="1"/>
      </tp>
      <tp>
        <v>3.98</v>
        <stp/>
        <stp>305</stp>
        <stp>19699750</stp>
        <tr r="N39" s="1"/>
      </tp>
      <tp>
        <v>5208.75</v>
        <stp/>
        <stp>505</stp>
        <stp>19699750</stp>
        <tr r="I44" s="1"/>
        <tr r="I44" s="1"/>
      </tp>
      <tp>
        <v>78151.45</v>
        <stp/>
        <stp>405</stp>
        <stp>19699750</stp>
        <tr r="H39" s="1"/>
      </tp>
      <tp>
        <v>2.65</v>
        <stp/>
        <stp>705</stp>
        <stp>19699750</stp>
        <tr r="N28" s="1"/>
      </tp>
      <tp>
        <v>5539.38</v>
        <stp/>
        <stp>605</stp>
        <stp>19699750</stp>
        <tr r="H44" s="1"/>
      </tp>
      <tp>
        <v>7475.94</v>
        <stp/>
        <stp>806</stp>
        <stp>19699750</stp>
        <tr r="H45" s="1"/>
        <tr r="H45" s="1"/>
      </tp>
      <tp>
        <v>33.630000000000003</v>
        <stp/>
        <stp>306</stp>
        <stp>19699750</stp>
        <tr r="U47" s="1"/>
      </tp>
      <tp>
        <v>109569.92</v>
        <stp/>
        <stp>506</stp>
        <stp>19699750</stp>
        <tr r="J49" s="1"/>
      </tp>
      <tp>
        <v>77569.39</v>
        <stp/>
        <stp>406</stp>
        <stp>19699750</stp>
        <tr r="H39" s="1"/>
        <tr r="H39" s="1"/>
      </tp>
      <tp>
        <v>2262.17</v>
        <stp/>
        <stp>706</stp>
        <stp>19699750</stp>
        <tr r="S30" s="1"/>
      </tp>
      <tp>
        <v>5469.29</v>
        <stp/>
        <stp>606</stp>
        <stp>19699750</stp>
        <tr r="H44" s="1"/>
        <tr r="H44" s="1"/>
      </tp>
      <tp>
        <v>1490.08</v>
        <stp/>
        <stp>807</stp>
        <stp>19699750</stp>
        <tr r="U45" s="1"/>
      </tp>
      <tp>
        <v>35340.15</v>
        <stp/>
        <stp>307</stp>
        <stp>19699750</stp>
        <tr r="R9" s="1"/>
      </tp>
      <tp>
        <v>121249.37</v>
        <stp/>
        <stp>507</stp>
        <stp>19699750</stp>
        <tr r="J49" s="1"/>
        <tr r="J49" s="1"/>
      </tp>
      <tp>
        <v>3215.91</v>
        <stp/>
        <stp>407</stp>
        <stp>19699750</stp>
        <tr r="J43" s="1"/>
      </tp>
      <tp>
        <v>3149.5149999999999</v>
        <stp/>
        <stp>707</stp>
        <stp>19699750</stp>
        <tr r="H32" s="1"/>
      </tp>
      <tp>
        <v>1.2915000000000001</v>
        <stp/>
        <stp>607</stp>
        <stp>19699750</stp>
        <tr r="U44" s="1"/>
      </tp>
      <tp t="s">
        <v>Unable to resolve all requested identifiers.</v>
        <stp/>
        <stp>800</stp>
        <stp>19699750</stp>
        <tr r="K34" s="1"/>
        <tr r="K34" s="1"/>
      </tp>
      <tp>
        <v>42671.27</v>
        <stp/>
        <stp>300</stp>
        <stp>19699750</stp>
        <tr r="J46" s="1"/>
      </tp>
      <tp>
        <v>3149.5149999999999</v>
        <stp/>
        <stp>500</stp>
        <stp>19699750</stp>
        <tr r="R32" s="1"/>
      </tp>
      <tp>
        <v>161.94499999999999</v>
        <stp/>
        <stp>400</stp>
        <stp>19699750</stp>
        <tr r="M40" s="1"/>
      </tp>
      <tp>
        <v>1.1435</v>
        <stp/>
        <stp>700</stp>
        <stp>19699750</stp>
        <tr r="U19" s="1"/>
      </tp>
      <tp>
        <v>11982.91</v>
        <stp/>
        <stp>600</stp>
        <stp>19699750</stp>
        <tr r="K33" s="1"/>
        <tr r="K33" s="1"/>
      </tp>
      <tp>
        <v>-0.6</v>
        <stp/>
        <stp>801</stp>
        <stp>19699750</stp>
        <tr r="N37" s="1"/>
      </tp>
      <tp>
        <v>36804.339999999997</v>
        <stp/>
        <stp>301</stp>
        <stp>19699750</stp>
        <tr r="J46" s="1"/>
        <tr r="J46" s="1"/>
      </tp>
      <tp>
        <v>4.07</v>
        <stp/>
        <stp>501</stp>
        <stp>19699750</stp>
        <tr r="L41" s="1"/>
      </tp>
      <tp>
        <v>-0.73</v>
        <stp/>
        <stp>401</stp>
        <stp>19699750</stp>
        <tr r="N42" s="1"/>
      </tp>
      <tp>
        <v>2074.2977000000001</v>
        <stp/>
        <stp>701</stp>
        <stp>19699750</stp>
        <tr r="I21" s="1"/>
      </tp>
      <tp>
        <v>-2.61</v>
        <stp/>
        <stp>601</stp>
        <stp>19699750</stp>
        <tr r="N36" s="1"/>
      </tp>
      <tp>
        <v>7.16</v>
        <stp/>
        <stp>802</stp>
        <stp>19699750</stp>
        <tr r="O39" s="1"/>
      </tp>
      <tp>
        <v>5539.38</v>
        <stp/>
        <stp>302</stp>
        <stp>19699750</stp>
        <tr r="K44" s="1"/>
      </tp>
      <tp>
        <v>7533.77</v>
        <stp/>
        <stp>502</stp>
        <stp>19699750</stp>
        <tr r="R11" s="1"/>
      </tp>
      <tp>
        <v>0.47</v>
        <stp/>
        <stp>402</stp>
        <stp>19699750</stp>
        <tr r="O44" s="1"/>
      </tp>
      <tp>
        <v>1976.2945999999999</v>
        <stp/>
        <stp>702</stp>
        <stp>19699750</stp>
        <tr r="I21" s="1"/>
        <tr r="I21" s="1"/>
      </tp>
      <tp>
        <v>0.74</v>
        <stp/>
        <stp>602</stp>
        <stp>19699750</stp>
        <tr r="O38" s="1"/>
      </tp>
      <tp>
        <v>1722.19</v>
        <stp/>
        <stp>803</stp>
        <stp>19699750</stp>
        <tr r="R41" s="1"/>
      </tp>
      <tp>
        <v>4189.5</v>
        <stp/>
        <stp>303</stp>
        <stp>19699750</stp>
        <tr r="K44" s="1"/>
        <tr r="K44" s="1"/>
      </tp>
      <tp>
        <v>4.5999999999999996</v>
        <stp/>
        <stp>503</stp>
        <stp>19699750</stp>
        <tr r="O36" s="1"/>
      </tp>
      <tp>
        <v>42671.27</v>
        <stp/>
        <stp>403</stp>
        <stp>19699750</stp>
        <tr r="R46" s="1"/>
      </tp>
      <tp>
        <v>1.1413500000000001</v>
        <stp/>
        <stp>703</stp>
        <stp>19699750</stp>
        <tr r="L23" s="1"/>
      </tp>
      <tp>
        <v>64141.120000000003</v>
        <stp/>
        <stp>603</stp>
        <stp>19699750</stp>
        <tr r="R40" s="1"/>
      </tp>
      <tp>
        <v>16.422750000000001</v>
        <stp/>
        <stp>378</stp>
        <stp>19699750</stp>
        <tr r="M49" s="1"/>
      </tp>
      <tp>
        <v>3215.91</v>
        <stp/>
        <stp>278</stp>
        <stp>19699750</stp>
        <tr r="H43" s="1"/>
        <tr r="H43" s="1"/>
      </tp>
      <tp>
        <v>-2.79</v>
        <stp/>
        <stp>578</stp>
        <stp>19699750</stp>
        <tr r="N17" s="1"/>
      </tp>
      <tp>
        <v>3766.41</v>
        <stp/>
        <stp>478</stp>
        <stp>19699750</stp>
        <tr r="H31" s="1"/>
      </tp>
      <tp>
        <v>66356.09</v>
        <stp/>
        <stp>778</stp>
        <stp>19699750</stp>
        <tr r="J10" s="1"/>
      </tp>
      <tp>
        <v>64141.120000000003</v>
        <stp/>
        <stp>678</stp>
        <stp>19699750</stp>
        <tr r="H40" s="1"/>
      </tp>
      <tp>
        <v>35305.31</v>
        <stp/>
        <stp>379</stp>
        <stp>19699750</stp>
        <tr r="S9" s="1"/>
      </tp>
      <tp>
        <v>78.195499999999996</v>
        <stp/>
        <stp>279</stp>
        <stp>19699750</stp>
        <tr r="U43" s="1"/>
      </tp>
      <tp>
        <v>35340.15</v>
        <stp/>
        <stp>579</stp>
        <stp>19699750</stp>
        <tr r="J9" s="1"/>
      </tp>
      <tp>
        <v>3769.5</v>
        <stp/>
        <stp>479</stp>
        <stp>19699750</stp>
        <tr r="H31" s="1"/>
        <tr r="H31" s="1"/>
      </tp>
      <tp>
        <v>69825.94</v>
        <stp/>
        <stp>779</stp>
        <stp>19699750</stp>
        <tr r="J10" s="1"/>
        <tr r="J10" s="1"/>
      </tp>
      <tp>
        <v>68557.73</v>
        <stp/>
        <stp>679</stp>
        <stp>19699750</stp>
        <tr r="H40" s="1"/>
        <tr r="H40" s="1"/>
      </tp>
      <tp t="s">
        <v>Unable to resolve all requested identifiers.</v>
        <stp/>
        <stp>374</stp>
        <stp>19699750</stp>
        <tr r="J34" s="1"/>
        <tr r="J34" s="1"/>
      </tp>
      <tp>
        <v>-3.1</v>
        <stp/>
        <stp>274</stp>
        <stp>19699750</stp>
        <tr r="O37" s="1"/>
      </tp>
      <tp>
        <v>2.64</v>
        <stp/>
        <stp>574</stp>
        <stp>19699750</stp>
        <tr r="N8" s="1"/>
      </tp>
      <tp>
        <v>1.1413500000000001</v>
        <stp/>
        <stp>474</stp>
        <stp>19699750</stp>
        <tr r="L22" s="1"/>
      </tp>
      <tp>
        <v>1.29175</v>
        <stp/>
        <stp>774</stp>
        <stp>19699750</stp>
        <tr r="L44" s="1"/>
      </tp>
      <tp>
        <v>3.7891499999999998</v>
        <stp/>
        <stp>674</stp>
        <stp>19699750</stp>
        <tr r="L31" s="1"/>
      </tp>
      <tp>
        <v>3215.91</v>
        <stp/>
        <stp>375</stp>
        <stp>19699750</stp>
        <tr r="R43" s="1"/>
      </tp>
      <tp>
        <v>78151.45</v>
        <stp/>
        <stp>275</stp>
        <stp>19699750</stp>
        <tr r="R39" s="1"/>
      </tp>
      <tp>
        <v>-2.64</v>
        <stp/>
        <stp>575</stp>
        <stp>19699750</stp>
        <tr r="O10" s="1"/>
      </tp>
      <tp>
        <v>1.1422000000000001</v>
        <stp/>
        <stp>475</stp>
        <stp>19699750</stp>
        <tr r="M24" s="1"/>
      </tp>
      <tp>
        <v>173825.27</v>
        <stp/>
        <stp>775</stp>
        <stp>19699750</stp>
        <tr r="I8" s="1"/>
      </tp>
      <tp>
        <v>0.80764999999999998</v>
        <stp/>
        <stp>675</stp>
        <stp>19699750</stp>
        <tr r="M33" s="1"/>
      </tp>
      <tp>
        <v>1639.04</v>
        <stp/>
        <stp>376</stp>
        <stp>19699750</stp>
        <tr r="H47" s="1"/>
      </tp>
      <tp>
        <v>1691.49</v>
        <stp/>
        <stp>276</stp>
        <stp>19699750</stp>
        <tr r="S41" s="1"/>
      </tp>
      <tp>
        <v>1.1413500000000001</v>
        <stp/>
        <stp>576</stp>
        <stp>19699750</stp>
        <tr r="L13" s="1"/>
      </tp>
      <tp>
        <v>-0.47</v>
        <stp/>
        <stp>476</stp>
        <stp>19699750</stp>
        <tr r="N27" s="1"/>
      </tp>
      <tp>
        <v>173205.35</v>
        <stp/>
        <stp>776</stp>
        <stp>19699750</stp>
        <tr r="I8" s="1"/>
        <tr r="I8" s="1"/>
      </tp>
      <tp>
        <v>8796.7000000000007</v>
        <stp/>
        <stp>676</stp>
        <stp>19699750</stp>
        <tr r="R36" s="1"/>
      </tp>
      <tp>
        <v>1621.55</v>
        <stp/>
        <stp>377</stp>
        <stp>19699750</stp>
        <tr r="H47" s="1"/>
        <tr r="H47" s="1"/>
      </tp>
      <tp>
        <v>3215.91</v>
        <stp/>
        <stp>277</stp>
        <stp>19699750</stp>
        <tr r="H43" s="1"/>
      </tp>
      <tp>
        <v>1.1422000000000001</v>
        <stp/>
        <stp>577</stp>
        <stp>19699750</stp>
        <tr r="M15" s="1"/>
      </tp>
      <tp>
        <v>2.82</v>
        <stp/>
        <stp>477</stp>
        <stp>19699750</stp>
        <tr r="O29" s="1"/>
      </tp>
      <tp>
        <v>5.1006999999999998</v>
        <stp/>
        <stp>777</stp>
        <stp>19699750</stp>
        <tr r="V8" s="1"/>
      </tp>
      <tp>
        <v>24175.119999999999</v>
        <stp/>
        <stp>677</stp>
        <stp>19699750</stp>
        <tr r="S38" s="1"/>
      </tp>
      <tp>
        <v>12905.67</v>
        <stp/>
        <stp>370</stp>
        <stp>19699750</stp>
        <tr r="J42" s="1"/>
        <tr r="J42" s="1"/>
      </tp>
      <tp>
        <v>3146.9389999999999</v>
        <stp/>
        <stp>270</stp>
        <stp>19699750</stp>
        <tr r="K32" s="1"/>
      </tp>
      <tp>
        <v>3764.1547</v>
        <stp/>
        <stp>570</stp>
        <stp>19699750</stp>
        <tr r="J37" s="1"/>
      </tp>
      <tp>
        <v>1.1435</v>
        <stp/>
        <stp>470</stp>
        <stp>19699750</stp>
        <tr r="U18" s="1"/>
      </tp>
      <tp>
        <v>64141.120000000003</v>
        <stp/>
        <stp>770</stp>
        <stp>19699750</stp>
        <tr r="J40" s="1"/>
      </tp>
      <tp>
        <v>10497.29</v>
        <stp/>
        <stp>670</stp>
        <stp>19699750</stp>
        <tr r="H27" s="1"/>
        <tr r="H27" s="1"/>
      </tp>
      <tp>
        <v>3149.5149999999999</v>
        <stp/>
        <stp>371</stp>
        <stp>19699750</stp>
        <tr r="I32" s="1"/>
      </tp>
      <tp>
        <v>2546.703</v>
        <stp/>
        <stp>271</stp>
        <stp>19699750</stp>
        <tr r="K32" s="1"/>
        <tr r="K32" s="1"/>
      </tp>
      <tp>
        <v>4051.4254000000001</v>
        <stp/>
        <stp>571</stp>
        <stp>19699750</stp>
        <tr r="J37" s="1"/>
        <tr r="J37" s="1"/>
      </tp>
      <tp>
        <v>51882.28</v>
        <stp/>
        <stp>471</stp>
        <stp>19699750</stp>
        <tr r="I20" s="1"/>
      </tp>
      <tp>
        <v>58475.9</v>
        <stp/>
        <stp>771</stp>
        <stp>19699750</stp>
        <tr r="J40" s="1"/>
        <tr r="J40" s="1"/>
      </tp>
      <tp>
        <v>1.3452</v>
        <stp/>
        <stp>671</stp>
        <stp>19699750</stp>
        <tr r="U27" s="1"/>
      </tp>
      <tp>
        <v>3166.7750000000001</v>
        <stp/>
        <stp>372</stp>
        <stp>19699750</stp>
        <tr r="I32" s="1"/>
        <tr r="I32" s="1"/>
      </tp>
      <tp>
        <v>44.6312</v>
        <stp/>
        <stp>272</stp>
        <stp>19699750</stp>
        <tr r="L34" s="1"/>
      </tp>
      <tp>
        <v>1.59</v>
        <stp/>
        <stp>572</stp>
        <stp>19699750</stp>
        <tr r="N45" s="1"/>
      </tp>
      <tp>
        <v>51163.199999999997</v>
        <stp/>
        <stp>472</stp>
        <stp>19699750</stp>
        <tr r="I20" s="1"/>
        <tr r="I20" s="1"/>
      </tp>
      <tp>
        <v>13694.68</v>
        <stp/>
        <stp>772</stp>
        <stp>19699750</stp>
        <tr r="K42" s="1"/>
      </tp>
      <tp>
        <v>1901.97</v>
        <stp/>
        <stp>672</stp>
        <stp>19699750</stp>
        <tr r="I29" s="1"/>
      </tp>
      <tp t="s">
        <v>Unable to resolve all requested identifiers.</v>
        <stp/>
        <stp>373</stp>
        <stp>19699750</stp>
        <tr r="J34" s="1"/>
      </tp>
      <tp>
        <v>44.6312</v>
        <stp/>
        <stp>273</stp>
        <stp>19699750</stp>
        <tr r="L34" s="1"/>
        <tr r="L34" s="1"/>
      </tp>
      <tp>
        <v>3185.8</v>
        <stp/>
        <stp>573</stp>
        <stp>19699750</stp>
        <tr r="R24" s="1"/>
      </tp>
      <tp>
        <v>1.1440999999999999</v>
        <stp/>
        <stp>473</stp>
        <stp>19699750</stp>
        <tr r="V20" s="1"/>
      </tp>
      <tp>
        <v>12880.4</v>
        <stp/>
        <stp>773</stp>
        <stp>19699750</stp>
        <tr r="K42" s="1"/>
        <tr r="K42" s="1"/>
      </tp>
      <tp>
        <v>1805.14</v>
        <stp/>
        <stp>673</stp>
        <stp>19699750</stp>
        <tr r="I29" s="1"/>
        <tr r="I29" s="1"/>
      </tp>
      <tp>
        <v>13785.67</v>
        <stp/>
        <stp>368</stp>
        <stp>19699750</stp>
        <tr r="H42" s="1"/>
        <tr r="H42" s="1"/>
      </tp>
      <tp>
        <v>2299.33</v>
        <stp/>
        <stp>268</stp>
        <stp>19699750</stp>
        <tr r="J30" s="1"/>
      </tp>
      <tp>
        <v>9062.26</v>
        <stp/>
        <stp>568</stp>
        <stp>19699750</stp>
        <tr r="J23" s="1"/>
      </tp>
      <tp>
        <v>2447.25</v>
        <stp/>
        <stp>468</stp>
        <stp>19699750</stp>
        <tr r="H18" s="1"/>
      </tp>
      <tp>
        <v>23026.68</v>
        <stp/>
        <stp>768</stp>
        <stp>19699750</stp>
        <tr r="I38" s="1"/>
        <tr r="I38" s="1"/>
      </tp>
      <tp>
        <v>3134.98</v>
        <stp/>
        <stp>668</stp>
        <stp>19699750</stp>
        <tr r="S24" s="1"/>
      </tp>
      <tp>
        <v>13694.68</v>
        <stp/>
        <stp>369</stp>
        <stp>19699750</stp>
        <tr r="J42" s="1"/>
      </tp>
      <tp>
        <v>2294.48</v>
        <stp/>
        <stp>269</stp>
        <stp>19699750</stp>
        <tr r="J30" s="1"/>
        <tr r="J30" s="1"/>
      </tp>
      <tp>
        <v>9185.2800000000007</v>
        <stp/>
        <stp>569</stp>
        <stp>19699750</stp>
        <tr r="J23" s="1"/>
        <tr r="J23" s="1"/>
      </tp>
      <tp>
        <v>2513.2199999999998</v>
        <stp/>
        <stp>469</stp>
        <stp>19699750</stp>
        <tr r="H18" s="1"/>
        <tr r="H18" s="1"/>
      </tp>
      <tp>
        <v>7.8396999999999997</v>
        <stp/>
        <stp>769</stp>
        <stp>19699750</stp>
        <tr r="V38" s="1"/>
      </tp>
      <tp>
        <v>10600.37</v>
        <stp/>
        <stp>669</stp>
        <stp>19699750</stp>
        <tr r="H27" s="1"/>
      </tp>
      <tp>
        <v>21.251000000000001</v>
        <stp/>
        <stp>364</stp>
        <stp>19699750</stp>
        <tr r="L28" s="1"/>
      </tp>
      <tp>
        <v>1.1413500000000001</v>
        <stp/>
        <stp>264</stp>
        <stp>19699750</stp>
        <tr r="L21" s="1"/>
      </tp>
      <tp>
        <v>4.92</v>
        <stp/>
        <stp>564</stp>
        <stp>19699750</stp>
        <tr r="O32" s="1"/>
      </tp>
      <tp>
        <v>7533.77</v>
        <stp/>
        <stp>464</stp>
        <stp>19699750</stp>
        <tr r="I11" s="1"/>
      </tp>
      <tp>
        <v>8796.7000000000007</v>
        <stp/>
        <stp>764</stp>
        <stp>19699750</stp>
        <tr r="H36" s="1"/>
      </tp>
      <tp>
        <v>7822.67</v>
        <stp/>
        <stp>664</stp>
        <stp>19699750</stp>
        <tr r="K16" s="1"/>
        <tr r="K16" s="1"/>
      </tp>
      <tp>
        <v>5617.84</v>
        <stp/>
        <stp>365</stp>
        <stp>19699750</stp>
        <tr r="I14" s="1"/>
      </tp>
      <tp>
        <v>1.1596</v>
        <stp/>
        <stp>265</stp>
        <stp>19699750</stp>
        <tr r="O23" s="1"/>
      </tp>
      <tp>
        <v>3764.1547</v>
        <stp/>
        <stp>565</stp>
        <stp>19699750</stp>
        <tr r="I37" s="1"/>
      </tp>
      <tp>
        <v>7440.43</v>
        <stp/>
        <stp>465</stp>
        <stp>19699750</stp>
        <tr r="I11" s="1"/>
        <tr r="I11" s="1"/>
      </tp>
      <tp>
        <v>8806</v>
        <stp/>
        <stp>765</stp>
        <stp>19699750</stp>
        <tr r="H36" s="1"/>
        <tr r="H36" s="1"/>
      </tp>
      <tp>
        <v>1.1413500000000001</v>
        <stp/>
        <stp>665</stp>
        <stp>19699750</stp>
        <tr r="L18" s="1"/>
      </tp>
      <tp>
        <v>5719.28</v>
        <stp/>
        <stp>366</stp>
        <stp>19699750</stp>
        <tr r="I14" s="1"/>
        <tr r="I14" s="1"/>
      </tp>
      <tp>
        <v>19216.900000000001</v>
        <stp/>
        <stp>266</stp>
        <stp>19699750</stp>
        <tr r="R25" s="1"/>
      </tp>
      <tp>
        <v>4073.9016999999999</v>
        <stp/>
        <stp>566</stp>
        <stp>19699750</stp>
        <tr r="I37" s="1"/>
        <tr r="I37" s="1"/>
      </tp>
      <tp>
        <v>5617.84</v>
        <stp/>
        <stp>466</stp>
        <stp>19699750</stp>
        <tr r="R14" s="1"/>
      </tp>
      <tp>
        <v>0.69789999999999996</v>
        <stp/>
        <stp>766</stp>
        <stp>19699750</stp>
        <tr r="U36" s="1"/>
      </tp>
      <tp>
        <v>1.1422000000000001</v>
        <stp/>
        <stp>666</stp>
        <stp>19699750</stp>
        <tr r="M20" s="1"/>
      </tp>
      <tp>
        <v>13694.68</v>
        <stp/>
        <stp>367</stp>
        <stp>19699750</stp>
        <tr r="H42" s="1"/>
      </tp>
      <tp>
        <v>2627.76</v>
        <stp/>
        <stp>267</stp>
        <stp>19699750</stp>
        <tr r="S28" s="1"/>
      </tp>
      <tp>
        <v>6.7725999999999997</v>
        <stp/>
        <stp>567</stp>
        <stp>19699750</stp>
        <tr r="V37" s="1"/>
      </tp>
      <tp>
        <v>8338.9699999999993</v>
        <stp/>
        <stp>467</stp>
        <stp>19699750</stp>
        <tr r="S16" s="1"/>
      </tp>
      <tp>
        <v>24562.240000000002</v>
        <stp/>
        <stp>767</stp>
        <stp>19699750</stp>
        <tr r="I38" s="1"/>
      </tp>
      <tp>
        <v>1102.3800000000001</v>
        <stp/>
        <stp>667</stp>
        <stp>19699750</stp>
        <tr r="R22" s="1"/>
      </tp>
      <tp>
        <v>42671.27</v>
        <stp/>
        <stp>360</stp>
        <stp>19699750</stp>
        <tr r="H46" s="1"/>
      </tp>
      <tp>
        <v>24830.98</v>
        <stp/>
        <stp>260</stp>
        <stp>19699750</stp>
        <tr r="J17" s="1"/>
      </tp>
      <tp>
        <v>13694.68</v>
        <stp/>
        <stp>560</stp>
        <stp>19699750</stp>
        <tr r="R42" s="1"/>
      </tp>
      <tp>
        <v>1.1422000000000001</v>
        <stp/>
        <stp>460</stp>
        <stp>19699750</stp>
        <tr r="M23" s="1"/>
      </tp>
      <tp>
        <v>1901.97</v>
        <stp/>
        <stp>760</stp>
        <stp>19699750</stp>
        <tr r="K29" s="1"/>
      </tp>
      <tp>
        <v>7575.39</v>
        <stp/>
        <stp>660</stp>
        <stp>19699750</stp>
        <tr r="S11" s="1"/>
      </tp>
      <tp>
        <v>45354.61</v>
        <stp/>
        <stp>361</stp>
        <stp>19699750</stp>
        <tr r="H46" s="1"/>
        <tr r="H46" s="1"/>
      </tp>
      <tp>
        <v>24702.240000000002</v>
        <stp/>
        <stp>261</stp>
        <stp>19699750</stp>
        <tr r="J17" s="1"/>
        <tr r="J17" s="1"/>
      </tp>
      <tp>
        <v>5469.29</v>
        <stp/>
        <stp>561</stp>
        <stp>19699750</stp>
        <tr r="S44" s="1"/>
      </tp>
      <tp>
        <v>35340.15</v>
        <stp/>
        <stp>461</stp>
        <stp>19699750</stp>
        <tr r="H9" s="1"/>
      </tp>
      <tp>
        <v>1734.95</v>
        <stp/>
        <stp>761</stp>
        <stp>19699750</stp>
        <tr r="K29" s="1"/>
        <tr r="K29" s="1"/>
      </tp>
      <tp>
        <v>5630.21</v>
        <stp/>
        <stp>661</stp>
        <stp>19699750</stp>
        <tr r="J14" s="1"/>
      </tp>
      <tp>
        <v>1.1596</v>
        <stp/>
        <stp>362</stp>
        <stp>19699750</stp>
        <tr r="O19" s="1"/>
      </tp>
      <tp>
        <v>13565.74</v>
        <stp/>
        <stp>262</stp>
        <stp>19699750</stp>
        <tr r="K19" s="1"/>
      </tp>
      <tp>
        <v>2584.41</v>
        <stp/>
        <stp>562</stp>
        <stp>19699750</stp>
        <tr r="K28" s="1"/>
      </tp>
      <tp>
        <v>35305.31</v>
        <stp/>
        <stp>462</stp>
        <stp>19699750</stp>
        <tr r="H9" s="1"/>
        <tr r="H9" s="1"/>
      </tp>
      <tp>
        <v>5.77</v>
        <stp/>
        <stp>762</stp>
        <stp>19699750</stp>
        <tr r="N31" s="1"/>
      </tp>
      <tp>
        <v>5572.1</v>
        <stp/>
        <stp>662</stp>
        <stp>19699750</stp>
        <tr r="J14" s="1"/>
        <tr r="J14" s="1"/>
      </tp>
      <tp>
        <v>13565.74</v>
        <stp/>
        <stp>363</stp>
        <stp>19699750</stp>
        <tr r="R19" s="1"/>
      </tp>
      <tp>
        <v>11143.28</v>
        <stp/>
        <stp>263</stp>
        <stp>19699750</stp>
        <tr r="K19" s="1"/>
        <tr r="K19" s="1"/>
      </tp>
      <tp>
        <v>2188.67</v>
        <stp/>
        <stp>563</stp>
        <stp>19699750</stp>
        <tr r="K28" s="1"/>
        <tr r="K28" s="1"/>
      </tp>
      <tp>
        <v>1.4015</v>
        <stp/>
        <stp>463</stp>
        <stp>19699750</stp>
        <tr r="U9" s="1"/>
      </tp>
      <tp>
        <v>1.93</v>
        <stp/>
        <stp>763</stp>
        <stp>19699750</stp>
        <tr r="O33" s="1"/>
      </tp>
      <tp>
        <v>8338.81</v>
        <stp/>
        <stp>663</stp>
        <stp>19699750</stp>
        <tr r="K16" s="1"/>
      </tp>
      <tp>
        <v>1731.45</v>
        <stp/>
        <stp>358</stp>
        <stp>19699750</stp>
        <tr r="J41" s="1"/>
      </tp>
      <tp>
        <v>6150.4</v>
        <stp/>
        <stp>258</stp>
        <stp>19699750</stp>
        <tr r="I15" s="1"/>
        <tr r="I15" s="1"/>
      </tp>
      <tp>
        <v>0.11</v>
        <stp/>
        <stp>558</stp>
        <stp>19699750</stp>
        <tr r="N38" s="1"/>
      </tp>
      <tp>
        <v>1.1413500000000001</v>
        <stp/>
        <stp>458</stp>
        <stp>19699750</stp>
        <tr r="L20" s="1"/>
      </tp>
      <tp>
        <v>10600.37</v>
        <stp/>
        <stp>758</stp>
        <stp>19699750</stp>
        <tr r="J27" s="1"/>
      </tp>
      <tp>
        <v>13807.63</v>
        <stp/>
        <stp>658</stp>
        <stp>19699750</stp>
        <tr r="I19" s="1"/>
        <tr r="I19" s="1"/>
      </tp>
      <tp>
        <v>1695.21</v>
        <stp/>
        <stp>359</stp>
        <stp>19699750</stp>
        <tr r="J41" s="1"/>
        <tr r="J41" s="1"/>
      </tp>
      <tp>
        <v>1.1440999999999999</v>
        <stp/>
        <stp>259</stp>
        <stp>19699750</stp>
        <tr r="V15" s="1"/>
      </tp>
      <tp>
        <v>3.71</v>
        <stp/>
        <stp>559</stp>
        <stp>19699750</stp>
        <tr r="O40" s="1"/>
      </tp>
      <tp>
        <v>7.84</v>
        <stp/>
        <stp>459</stp>
        <stp>19699750</stp>
        <tr r="U38" s="1"/>
      </tp>
      <tp>
        <v>10667.63</v>
        <stp/>
        <stp>759</stp>
        <stp>19699750</stp>
        <tr r="J27" s="1"/>
        <tr r="J27" s="1"/>
      </tp>
      <tp>
        <v>1.4153</v>
        <stp/>
        <stp>659</stp>
        <stp>19699750</stp>
        <tr r="L9" s="1"/>
      </tp>
      <tp>
        <v>6191.92</v>
        <stp/>
        <stp>354</stp>
        <stp>19699750</stp>
        <tr r="J45" s="1"/>
        <tr r="J45" s="1"/>
      </tp>
      <tp>
        <v>6364.91</v>
        <stp/>
        <stp>254</stp>
        <stp>19699750</stp>
        <tr r="H13" s="1"/>
      </tp>
      <tp>
        <v>3.7812000000000001</v>
        <stp/>
        <stp>554</stp>
        <stp>19699750</stp>
        <tr r="V31" s="1"/>
      </tp>
      <tp>
        <v>33.270000000000003</v>
        <stp/>
        <stp>454</stp>
        <stp>19699750</stp>
        <tr r="M47" s="1"/>
      </tp>
      <tp>
        <v>1.1435</v>
        <stp/>
        <stp>754</stp>
        <stp>19699750</stp>
        <tr r="U22" s="1"/>
      </tp>
      <tp>
        <v>10484.219999999999</v>
        <stp/>
        <stp>654</stp>
        <stp>19699750</stp>
        <tr r="I27" s="1"/>
        <tr r="I27" s="1"/>
      </tp>
      <tp>
        <v>1639.04</v>
        <stp/>
        <stp>355</stp>
        <stp>19699750</stp>
        <tr r="K47" s="1"/>
      </tp>
      <tp>
        <v>6484.89</v>
        <stp/>
        <stp>255</stp>
        <stp>19699750</stp>
        <tr r="H13" s="1"/>
        <tr r="H13" s="1"/>
      </tp>
      <tp>
        <v>14343.7</v>
        <stp/>
        <stp>555</stp>
        <stp>19699750</stp>
        <tr r="J33" s="1"/>
      </tp>
      <tp>
        <v>78151.45</v>
        <stp/>
        <stp>455</stp>
        <stp>19699750</stp>
        <tr r="K39" s="1"/>
      </tp>
      <tp>
        <v>3185.8</v>
        <stp/>
        <stp>755</stp>
        <stp>19699750</stp>
        <tr r="I24" s="1"/>
      </tp>
      <tp>
        <v>64141.120000000003</v>
        <stp/>
        <stp>655</stp>
        <stp>19699750</stp>
        <tr r="I40" s="1"/>
      </tp>
      <tp>
        <v>1206.58</v>
        <stp/>
        <stp>356</stp>
        <stp>19699750</stp>
        <tr r="K47" s="1"/>
        <tr r="K47" s="1"/>
      </tp>
      <tp>
        <v>1.1435</v>
        <stp/>
        <stp>256</stp>
        <stp>19699750</stp>
        <tr r="U13" s="1"/>
      </tp>
      <tp>
        <v>13426.72</v>
        <stp/>
        <stp>556</stp>
        <stp>19699750</stp>
        <tr r="J33" s="1"/>
        <tr r="J33" s="1"/>
      </tp>
      <tp>
        <v>81757.73</v>
        <stp/>
        <stp>456</stp>
        <stp>19699750</stp>
        <tr r="K39" s="1"/>
        <tr r="K39" s="1"/>
      </tp>
      <tp>
        <v>2998.64</v>
        <stp/>
        <stp>756</stp>
        <stp>19699750</stp>
        <tr r="I24" s="1"/>
        <tr r="I24" s="1"/>
      </tp>
      <tp>
        <v>69468.11</v>
        <stp/>
        <stp>656</stp>
        <stp>19699750</stp>
        <tr r="I40" s="1"/>
        <tr r="I40" s="1"/>
      </tp>
      <tp>
        <v>1.1440999999999999</v>
        <stp/>
        <stp>357</stp>
        <stp>19699750</stp>
        <tr r="V25" s="1"/>
      </tp>
      <tp>
        <v>6174.83</v>
        <stp/>
        <stp>257</stp>
        <stp>19699750</stp>
        <tr r="I15" s="1"/>
      </tp>
      <tp>
        <v>0.68869999999999998</v>
        <stp/>
        <stp>557</stp>
        <stp>19699750</stp>
        <tr r="M36" s="1"/>
      </tp>
      <tp>
        <v>77</v>
        <stp/>
        <stp>457</stp>
        <stp>19699750</stp>
        <tr r="M43" s="1"/>
      </tp>
      <tp>
        <v>1.1440999999999999</v>
        <stp/>
        <stp>757</stp>
        <stp>19699750</stp>
        <tr r="V24" s="1"/>
      </tp>
      <tp>
        <v>13565.74</v>
        <stp/>
        <stp>657</stp>
        <stp>19699750</stp>
        <tr r="I19" s="1"/>
      </tp>
      <tp>
        <v>3215.91</v>
        <stp/>
        <stp>350</stp>
        <stp>19699750</stp>
        <tr r="I43" s="1"/>
      </tp>
      <tp>
        <v>173825.27</v>
        <stp/>
        <stp>250</stp>
        <stp>19699750</stp>
        <tr r="J8" s="1"/>
      </tp>
      <tp>
        <v>-0.16</v>
        <stp/>
        <stp>550</stp>
        <stp>19699750</stp>
        <tr r="O27" s="1"/>
      </tp>
      <tp>
        <v>9106.84</v>
        <stp/>
        <stp>450</stp>
        <stp>19699750</stp>
        <tr r="H23" s="1"/>
        <tr r="H23" s="1"/>
      </tp>
      <tp>
        <v>-2.79</v>
        <stp/>
        <stp>750</stp>
        <stp>19699750</stp>
        <tr r="N18" s="1"/>
      </tp>
      <tp>
        <v>109569.92</v>
        <stp/>
        <stp>650</stp>
        <stp>19699750</stp>
        <tr r="K49" s="1"/>
      </tp>
      <tp>
        <v>3215.91</v>
        <stp/>
        <stp>351</stp>
        <stp>19699750</stp>
        <tr r="I43" s="1"/>
        <tr r="I43" s="1"/>
      </tp>
      <tp>
        <v>195733.51</v>
        <stp/>
        <stp>251</stp>
        <stp>19699750</stp>
        <tr r="J8" s="1"/>
        <tr r="J8" s="1"/>
      </tp>
      <tp>
        <v>6.5380000000000003</v>
        <stp/>
        <stp>551</stp>
        <stp>19699750</stp>
        <tr r="U29" s="1"/>
      </tp>
      <tp>
        <v>19216.900000000001</v>
        <stp/>
        <stp>451</stp>
        <stp>19699750</stp>
        <tr r="I25" s="1"/>
      </tp>
      <tp>
        <v>1.1596</v>
        <stp/>
        <stp>751</stp>
        <stp>19699750</stp>
        <tr r="O20" s="1"/>
      </tp>
      <tp>
        <v>98687.07</v>
        <stp/>
        <stp>651</stp>
        <stp>19699750</stp>
        <tr r="K49" s="1"/>
        <tr r="K49" s="1"/>
      </tp>
      <tp>
        <v>78.095500000000001</v>
        <stp/>
        <stp>352</stp>
        <stp>19699750</stp>
        <tr r="V43" s="1"/>
      </tp>
      <tp>
        <v>66356.09</v>
        <stp/>
        <stp>252</stp>
        <stp>19699750</stp>
        <tr r="K10" s="1"/>
      </tp>
      <tp>
        <v>3766.41</v>
        <stp/>
        <stp>552</stp>
        <stp>19699750</stp>
        <tr r="I31" s="1"/>
      </tp>
      <tp>
        <v>19387.400000000001</v>
        <stp/>
        <stp>452</stp>
        <stp>19699750</stp>
        <tr r="I25" s="1"/>
        <tr r="I25" s="1"/>
      </tp>
      <tp>
        <v>1102.3800000000001</v>
        <stp/>
        <stp>752</stp>
        <stp>19699750</stp>
        <tr r="H22" s="1"/>
      </tp>
      <tp>
        <v>1.1435</v>
        <stp/>
        <stp>652</stp>
        <stp>19699750</stp>
        <tr r="U24" s="1"/>
      </tp>
      <tp>
        <v>6820.6</v>
        <stp/>
        <stp>353</stp>
        <stp>19699750</stp>
        <tr r="J45" s="1"/>
      </tp>
      <tp>
        <v>56714.92</v>
        <stp/>
        <stp>253</stp>
        <stp>19699750</stp>
        <tr r="K10" s="1"/>
        <tr r="K10" s="1"/>
      </tp>
      <tp>
        <v>3562.94</v>
        <stp/>
        <stp>553</stp>
        <stp>19699750</stp>
        <tr r="I31" s="1"/>
        <tr r="I31" s="1"/>
      </tp>
      <tp>
        <v>9.9289500000000004</v>
        <stp/>
        <stp>453</stp>
        <stp>19699750</stp>
        <tr r="M30" s="1"/>
      </tp>
      <tp>
        <v>1084.23</v>
        <stp/>
        <stp>753</stp>
        <stp>19699750</stp>
        <tr r="H22" s="1"/>
        <tr r="H22" s="1"/>
      </tp>
      <tp>
        <v>10600.37</v>
        <stp/>
        <stp>653</stp>
        <stp>19699750</stp>
        <tr r="I27" s="1"/>
      </tp>
      <tp>
        <v>1691.49</v>
        <stp/>
        <stp>348</stp>
        <stp>19699750</stp>
        <tr r="H41" s="1"/>
        <tr r="H41" s="1"/>
      </tp>
      <tp>
        <v>173825.27</v>
        <stp/>
        <stp>248</stp>
        <stp>19699750</stp>
        <tr r="H8" s="1"/>
      </tp>
      <tp>
        <v>1.1422000000000001</v>
        <stp/>
        <stp>548</stp>
        <stp>19699750</stp>
        <tr r="M22" s="1"/>
      </tp>
      <tp>
        <v>33.29</v>
        <stp/>
        <stp>448</stp>
        <stp>19699750</stp>
        <tr r="L47" s="1"/>
      </tp>
      <tp>
        <v>1.1413500000000001</v>
        <stp/>
        <stp>748</stp>
        <stp>19699750</stp>
        <tr r="L14" s="1"/>
      </tp>
      <tp>
        <v>3.44</v>
        <stp/>
        <stp>648</stp>
        <stp>19699750</stp>
        <tr r="O45" s="1"/>
      </tp>
      <tp>
        <v>4.09</v>
        <stp/>
        <stp>349</stp>
        <stp>19699750</stp>
        <tr r="U41" s="1"/>
      </tp>
      <tp>
        <v>177866.37</v>
        <stp/>
        <stp>249</stp>
        <stp>19699750</stp>
        <tr r="H8" s="1"/>
        <tr r="H8" s="1"/>
      </tp>
      <tp>
        <v>-2.79</v>
        <stp/>
        <stp>549</stp>
        <stp>19699750</stp>
        <tr r="N24" s="1"/>
      </tp>
      <tp>
        <v>9062.26</v>
        <stp/>
        <stp>449</stp>
        <stp>19699750</stp>
        <tr r="H23" s="1"/>
      </tp>
      <tp>
        <v>1.1422000000000001</v>
        <stp/>
        <stp>749</stp>
        <stp>19699750</stp>
        <tr r="M16" s="1"/>
      </tp>
      <tp>
        <v>1639.04</v>
        <stp/>
        <stp>649</stp>
        <stp>19699750</stp>
        <tr r="R47" s="1"/>
      </tp>
      <tp>
        <v>44.848199999999999</v>
        <stp/>
        <stp>344</stp>
        <stp>19699750</stp>
        <tr r="M34" s="1"/>
      </tp>
      <tp>
        <v>2467.5</v>
        <stp/>
        <stp>544</stp>
        <stp>19699750</stp>
        <tr r="I18" s="1"/>
        <tr r="I18" s="1"/>
      </tp>
      <tp>
        <v>96.28</v>
        <stp/>
        <stp>444</stp>
        <stp>19699750</stp>
        <tr r="U39" s="1"/>
      </tp>
      <tp>
        <v>6175.79</v>
        <stp/>
        <stp>744</stp>
        <stp>19699750</stp>
        <tr r="S15" s="1"/>
      </tp>
      <tp>
        <v>3534.4827</v>
        <stp/>
        <stp>644</stp>
        <stp>19699750</stp>
        <tr r="K37" s="1"/>
        <tr r="K37" s="1"/>
      </tp>
      <tp>
        <v>3764.1547</v>
        <stp/>
        <stp>345</stp>
        <stp>19699750</stp>
        <tr r="R37" s="1"/>
      </tp>
      <tp>
        <v>1.1440999999999999</v>
        <stp/>
        <stp>545</stp>
        <stp>19699750</stp>
        <tr r="V18" s="1"/>
      </tp>
      <tp>
        <v>1722.19</v>
        <stp/>
        <stp>445</stp>
        <stp>19699750</stp>
        <tr r="I41" s="1"/>
      </tp>
      <tp>
        <v>24830.98</v>
        <stp/>
        <stp>745</stp>
        <stp>19699750</stp>
        <tr r="H17" s="1"/>
      </tp>
      <tp>
        <v>95.33</v>
        <stp/>
        <stp>645</stp>
        <stp>19699750</stp>
        <tr r="L39" s="1"/>
      </tp>
      <tp>
        <v>77569.39</v>
        <stp/>
        <stp>346</stp>
        <stp>19699750</stp>
        <tr r="S39" s="1"/>
      </tp>
      <tp>
        <v>51882.28</v>
        <stp/>
        <stp>546</stp>
        <stp>19699750</stp>
        <tr r="J20" s="1"/>
      </tp>
      <tp>
        <v>1665.91</v>
        <stp/>
        <stp>446</stp>
        <stp>19699750</stp>
        <tr r="I41" s="1"/>
        <tr r="I41" s="1"/>
      </tp>
      <tp>
        <v>25067.09</v>
        <stp/>
        <stp>746</stp>
        <stp>19699750</stp>
        <tr r="H17" s="1"/>
        <tr r="H17" s="1"/>
      </tp>
      <tp>
        <v>4.0709999999999997</v>
        <stp/>
        <stp>646</stp>
        <stp>19699750</stp>
        <tr r="M41" s="1"/>
      </tp>
      <tp>
        <v>1722.19</v>
        <stp/>
        <stp>347</stp>
        <stp>19699750</stp>
        <tr r="H41" s="1"/>
      </tp>
      <tp>
        <v>48869.43</v>
        <stp/>
        <stp>547</stp>
        <stp>19699750</stp>
        <tr r="J20" s="1"/>
        <tr r="J20" s="1"/>
      </tp>
      <tp>
        <v>4.07</v>
        <stp/>
        <stp>447</stp>
        <stp>19699750</stp>
        <tr r="V41" s="1"/>
      </tp>
      <tp>
        <v>2.34</v>
        <stp/>
        <stp>747</stp>
        <stp>19699750</stp>
        <tr r="N9" s="1"/>
      </tp>
      <tp>
        <v>2.89</v>
        <stp/>
        <stp>647</stp>
        <stp>19699750</stp>
        <tr r="N43" s="1"/>
      </tp>
      <tp>
        <v>6.5488999999999997</v>
        <stp/>
        <stp>840</stp>
        <stp>19699750</stp>
        <tr r="L29" s="1"/>
      </tp>
      <tp>
        <v>21.177</v>
        <stp/>
        <stp>340</stp>
        <stp>19699750</stp>
        <tr r="U28" s="1"/>
      </tp>
      <tp>
        <v>8377.86</v>
        <stp/>
        <stp>540</stp>
        <stp>19699750</stp>
        <tr r="H16" s="1"/>
      </tp>
      <tp>
        <v>9.78505</v>
        <stp/>
        <stp>440</stp>
        <stp>19699750</stp>
        <tr r="L30" s="1"/>
      </tp>
      <tp>
        <v>66356.09</v>
        <stp/>
        <stp>740</stp>
        <stp>19699750</stp>
        <tr r="I10" s="1"/>
      </tp>
      <tp>
        <v>3177.777</v>
        <stp/>
        <stp>640</stp>
        <stp>19699750</stp>
        <tr r="S32" s="1"/>
      </tp>
      <tp>
        <v>5.89</v>
        <stp/>
        <stp>841</stp>
        <stp>19699750</stp>
        <tr r="O31" s="1"/>
      </tp>
      <tp>
        <v>2299.33</v>
        <stp/>
        <stp>341</stp>
        <stp>19699750</stp>
        <tr r="K30" s="1"/>
      </tp>
      <tp>
        <v>8338.9699999999993</v>
        <stp/>
        <stp>541</stp>
        <stp>19699750</stp>
        <tr r="H16" s="1"/>
        <tr r="H16" s="1"/>
      </tp>
      <tp>
        <v>9.7132000000000005</v>
        <stp/>
        <stp>441</stp>
        <stp>19699750</stp>
        <tr r="M32" s="1"/>
      </tp>
      <tp>
        <v>67640.59</v>
        <stp/>
        <stp>741</stp>
        <stp>19699750</stp>
        <tr r="I10" s="1"/>
        <tr r="I10" s="1"/>
      </tp>
      <tp t="s">
        <v>Unable to resolve all requested identifiers.</v>
        <stp/>
        <stp>641</stp>
        <stp>19699750</stp>
        <tr r="H34" s="1"/>
      </tp>
      <tp>
        <v>0.84</v>
        <stp/>
        <stp>842</stp>
        <stp>19699750</stp>
        <tr r="O41" s="1"/>
      </tp>
      <tp>
        <v>1870.28</v>
        <stp/>
        <stp>342</stp>
        <stp>19699750</stp>
        <tr r="K30" s="1"/>
        <tr r="K30" s="1"/>
      </tp>
      <tp>
        <v>1.1435</v>
        <stp/>
        <stp>542</stp>
        <stp>19699750</stp>
        <tr r="U16" s="1"/>
      </tp>
      <tp>
        <v>1.44</v>
        <stp/>
        <stp>442</stp>
        <stp>19699750</stp>
        <tr r="N34" s="1"/>
      </tp>
      <tp>
        <v>17.414999999999999</v>
        <stp/>
        <stp>742</stp>
        <stp>19699750</stp>
        <tr r="V10" s="1"/>
      </tp>
      <tp t="s">
        <v>Unable to resolve all requested identifiers.</v>
        <stp/>
        <stp>642</stp>
        <stp>19699750</stp>
        <tr r="H34" s="1"/>
        <tr r="H34" s="1"/>
      </tp>
      <tp>
        <v>9.6626999999999992</v>
        <stp/>
        <stp>343</stp>
        <stp>19699750</stp>
        <tr r="L32" s="1"/>
      </tp>
      <tp>
        <v>2447.25</v>
        <stp/>
        <stp>543</stp>
        <stp>19699750</stp>
        <tr r="I18" s="1"/>
      </tp>
      <tp>
        <v>3996.1615999999999</v>
        <stp/>
        <stp>443</stp>
        <stp>19699750</stp>
        <tr r="S37" s="1"/>
      </tp>
      <tp>
        <v>6364.91</v>
        <stp/>
        <stp>743</stp>
        <stp>19699750</stp>
        <tr r="R13" s="1"/>
      </tp>
      <tp>
        <v>3764.1547</v>
        <stp/>
        <stp>643</stp>
        <stp>19699750</stp>
        <tr r="K37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ankofcanada.sharepoint.com/sites/D_FER_CRA/mcrag/RA%20Materials/Biweekly%20Meetings/Bi-Weekly%20Templates/CRAO%20-%20Markets%20Monitoring.xlsx" TargetMode="External"/><Relationship Id="rId1" Type="http://schemas.openxmlformats.org/officeDocument/2006/relationships/externalLinkPath" Target="https://bankofcanada.sharepoint.com/sites/D_FER_CRA/mcrag/RA%20Materials/Biweekly%20Meetings/Bi-Weekly%20Templates/CRAO%20-%20Markets%20Monitoring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vjo\AppData\Local\Capital%20IQ\Office%20Plug-in\Templates\Fixed%20Income\Credit%20Default%20Swaps.xlsm" TargetMode="External"/><Relationship Id="rId1" Type="http://schemas.openxmlformats.org/officeDocument/2006/relationships/externalLinkPath" Target="file:///C:\Users\evjo\AppData\Local\Capital%20IQ\Office%20Plug-in\Templates\Fixed%20Income\Credit%20Default%20Swap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"/>
      <sheetName val="Log"/>
      <sheetName val="Bloomberg Codes"/>
      <sheetName val="_CIQHiddenCacheSheet"/>
      <sheetName val="Report"/>
      <sheetName val="TimeSeries_provinces_5yr"/>
      <sheetName val="TimeSeries_provinces"/>
      <sheetName val="Provinces"/>
      <sheetName val="Sovereign Indicators"/>
      <sheetName val="Bank Indicators"/>
      <sheetName val="DebtDist"/>
      <sheetName val="List"/>
    </sheetNames>
    <sheetDataSet>
      <sheetData sheetId="0" refreshError="1"/>
      <sheetData sheetId="1" refreshError="1"/>
      <sheetData sheetId="2">
        <row r="2">
          <cell r="O2" t="str">
            <v>Rating Code</v>
          </cell>
          <cell r="P2" t="str">
            <v>Equity Data</v>
          </cell>
          <cell r="Q2" t="str">
            <v>CDS 5Y</v>
          </cell>
          <cell r="R2" t="str">
            <v>CDS 1Y</v>
          </cell>
          <cell r="S2" t="str">
            <v>Corp Bond 5Y</v>
          </cell>
          <cell r="T2" t="str">
            <v>Liquidity Ratios</v>
          </cell>
          <cell r="U2" t="str">
            <v>General Debt Profile/Credit Tred</v>
          </cell>
        </row>
        <row r="3">
          <cell r="A3" t="str">
            <v>America</v>
          </cell>
          <cell r="N3" t="str">
            <v>Citigroup</v>
          </cell>
          <cell r="O3" t="str">
            <v>C US Equity</v>
          </cell>
          <cell r="P3" t="str">
            <v>C US Equity</v>
          </cell>
          <cell r="Q3" t="str">
            <v>CCGI1U5 CBIN Curncy</v>
          </cell>
          <cell r="R3" t="str">
            <v>CINC CDS USD SR 1Y D14</v>
          </cell>
          <cell r="S3" t="str">
            <v>C GB USD SR 5Y Corp</v>
          </cell>
        </row>
        <row r="4">
          <cell r="A4" t="str">
            <v>BRAZIL</v>
          </cell>
          <cell r="B4" t="str">
            <v>1323Z BZ Equity</v>
          </cell>
          <cell r="C4" t="str">
            <v>BRAZIL CDS USD SR 5Y D14 Corp</v>
          </cell>
          <cell r="D4" t="str">
            <v>GTBRL5Y Govt</v>
          </cell>
          <cell r="E4" t="str">
            <v>BCSWNPD Curncy</v>
          </cell>
          <cell r="F4" t="str">
            <v>IBOV Index</v>
          </cell>
          <cell r="G4" t="str">
            <v>USDBRL Curncy</v>
          </cell>
          <cell r="J4" t="str">
            <v>BZUETOTN Index</v>
          </cell>
          <cell r="N4" t="str">
            <v>Bank of America</v>
          </cell>
          <cell r="O4" t="str">
            <v>15581Z US Equity</v>
          </cell>
          <cell r="P4" t="str">
            <v>BAC US Equity</v>
          </cell>
          <cell r="Q4" t="str">
            <v>CBAC1U5 CBIN Curncy</v>
          </cell>
          <cell r="R4" t="str">
            <v>BOFA CDS USD SR 1Y D14</v>
          </cell>
          <cell r="S4" t="str">
            <v>BAC GB USD SR 5Y Corp</v>
          </cell>
        </row>
        <row r="5">
          <cell r="A5" t="str">
            <v>CANADA</v>
          </cell>
          <cell r="B5" t="str">
            <v>80710Z CN Equity</v>
          </cell>
          <cell r="C5" t="str">
            <v>CANPAC CDS USD SR 5Y D14 Corp</v>
          </cell>
          <cell r="D5" t="str">
            <v>GCAN5YR Index</v>
          </cell>
          <cell r="E5" t="str">
            <v>CDSW5 Curncy</v>
          </cell>
          <cell r="F5" t="str">
            <v>SPTSX Index</v>
          </cell>
          <cell r="G5" t="str">
            <v>USDCAD Curncy</v>
          </cell>
          <cell r="H5" t="str">
            <v>CACPIYOY Index</v>
          </cell>
          <cell r="I5" t="str">
            <v>CACPICHG Index</v>
          </cell>
          <cell r="J5" t="str">
            <v>CANLXEMR Index</v>
          </cell>
          <cell r="N5" t="str">
            <v>JPMorgan Chase &amp; Co</v>
          </cell>
          <cell r="O5" t="str">
            <v>8147Z US Equity</v>
          </cell>
          <cell r="P5" t="str">
            <v>JPM US Equity</v>
          </cell>
          <cell r="Q5" t="str">
            <v>CJPM1U5 CBIN Curncy</v>
          </cell>
          <cell r="R5" t="str">
            <v>JPMCC CDS USD SR 1Y D14</v>
          </cell>
          <cell r="S5" t="str">
            <v>JPM GB USD SR 5Y Corp</v>
          </cell>
        </row>
        <row r="6">
          <cell r="A6" t="str">
            <v>MEXICO</v>
          </cell>
          <cell r="B6" t="str">
            <v>1426Z MM Equity</v>
          </cell>
          <cell r="C6" t="str">
            <v>MEXICO CDS USD SR 5Y D14 Corp</v>
          </cell>
          <cell r="D6" t="str">
            <v>GMXN05YR Index</v>
          </cell>
          <cell r="E6" t="str">
            <v>MPSW5E Curncy</v>
          </cell>
          <cell r="F6" t="str">
            <v>MEXBOL Index</v>
          </cell>
          <cell r="G6" t="str">
            <v>USDMXN Curncy</v>
          </cell>
          <cell r="H6" t="str">
            <v>MXCPYOY Index</v>
          </cell>
          <cell r="I6" t="str">
            <v>MXCPCHNG Index</v>
          </cell>
          <cell r="J6" t="str">
            <v>MXUERATE Index</v>
          </cell>
          <cell r="N6" t="str">
            <v>BNP Paribas SA</v>
          </cell>
          <cell r="O6" t="str">
            <v>BNP FP Equity</v>
          </cell>
          <cell r="P6" t="str">
            <v>BNP FP Equity</v>
          </cell>
          <cell r="Q6" t="str">
            <v>CBNP1E5 CBIN Curncy</v>
          </cell>
          <cell r="R6" t="str">
            <v>BNP CDS EUR SR 1Y D14</v>
          </cell>
          <cell r="S6" t="str">
            <v>AL997029 Corp</v>
          </cell>
        </row>
        <row r="7">
          <cell r="A7" t="str">
            <v>UNITED STATES</v>
          </cell>
          <cell r="B7" t="str">
            <v>3352Z US Equity</v>
          </cell>
          <cell r="C7" t="str">
            <v>US CDS EUR SR 5Y D14 Corp</v>
          </cell>
          <cell r="D7" t="str">
            <v>USGG5YR Index</v>
          </cell>
          <cell r="E7" t="str">
            <v>USSWAP5 Curncy</v>
          </cell>
          <cell r="F7" t="str">
            <v>SPX Index</v>
          </cell>
          <cell r="H7" t="str">
            <v>CPI YOY Index</v>
          </cell>
          <cell r="I7" t="str">
            <v>CPI CHNG Index</v>
          </cell>
          <cell r="J7" t="str">
            <v>USURTOT Index</v>
          </cell>
          <cell r="N7" t="str">
            <v>Credit Agricole SA</v>
          </cell>
          <cell r="O7" t="str">
            <v>331900Z FP Equity</v>
          </cell>
          <cell r="P7" t="str">
            <v>ACA FP Equity</v>
          </cell>
          <cell r="Q7" t="str">
            <v>LCL SA CDS EUR SR 5Y D14 Corp</v>
          </cell>
          <cell r="R7" t="str">
            <v>LCL SA CDS EUR SR 1Y D14 Corp</v>
          </cell>
          <cell r="S7" t="str">
            <v>ACAFP 0.435 06/26/20 Corp</v>
          </cell>
        </row>
        <row r="8">
          <cell r="A8" t="str">
            <v>Europe</v>
          </cell>
          <cell r="N8" t="str">
            <v>Societe Generale SA</v>
          </cell>
          <cell r="O8" t="str">
            <v>GLE FP Equity</v>
          </cell>
          <cell r="P8" t="str">
            <v>GLE FP Equity</v>
          </cell>
          <cell r="Q8" t="str">
            <v>SOCGEN CDS EUR SR 5Y D14 Corp</v>
          </cell>
          <cell r="R8" t="str">
            <v>SOCGEN CDS EUR SR 1Y D14 Corp</v>
          </cell>
          <cell r="S8" t="str">
            <v>QJ659760 Corp</v>
          </cell>
        </row>
        <row r="9">
          <cell r="A9" t="str">
            <v>AUSTRIA</v>
          </cell>
          <cell r="B9" t="str">
            <v>1480Z AV Equity</v>
          </cell>
          <cell r="C9" t="str">
            <v>AUST CDS USD SR 5Y D14 Corp</v>
          </cell>
          <cell r="D9" t="str">
            <v>GAGB5YR Index</v>
          </cell>
          <cell r="E9" t="str">
            <v>EUSA5 CMPN Curncy</v>
          </cell>
          <cell r="F9" t="str">
            <v>ATX Index</v>
          </cell>
          <cell r="G9" t="str">
            <v>USDEUR Curncy</v>
          </cell>
          <cell r="H9" t="str">
            <v>ATCPYY10 Index</v>
          </cell>
          <cell r="J9" t="str">
            <v>ATUERNA Index</v>
          </cell>
          <cell r="N9" t="str">
            <v>UBS Group AG</v>
          </cell>
          <cell r="O9" t="str">
            <v>UBSN SW Equity</v>
          </cell>
          <cell r="P9" t="str">
            <v>UBSG SW Equity</v>
          </cell>
          <cell r="Q9" t="str">
            <v>UBS AG CDS EUR SR 5Y D14 Corp</v>
          </cell>
          <cell r="R9" t="str">
            <v>UBS CDS EUR SR 1Y D14 Corp</v>
          </cell>
          <cell r="S9" t="str">
            <v>UBS GB USD SR 3Y Corp</v>
          </cell>
        </row>
        <row r="10">
          <cell r="A10" t="str">
            <v>BELGIUM</v>
          </cell>
          <cell r="B10" t="str">
            <v>111136Z BB Equity</v>
          </cell>
          <cell r="C10" t="str">
            <v>BELG CDS USD SR 5Y D14 Corp</v>
          </cell>
          <cell r="D10" t="str">
            <v>GBGB5YR Index</v>
          </cell>
          <cell r="E10" t="str">
            <v>EUSA5 CMPN Curncy</v>
          </cell>
          <cell r="F10" t="str">
            <v>BEL20 Index</v>
          </cell>
          <cell r="G10" t="str">
            <v>USDEUR Curncy</v>
          </cell>
          <cell r="H10" t="str">
            <v>BECPYOY Index</v>
          </cell>
          <cell r="I10" t="str">
            <v>BECPCHNG Index</v>
          </cell>
          <cell r="J10" t="str">
            <v>BEUER Index</v>
          </cell>
          <cell r="N10" t="str">
            <v>HSBC Holdings PLC</v>
          </cell>
          <cell r="O10" t="str">
            <v>521903Z US Equity</v>
          </cell>
          <cell r="P10" t="str">
            <v>HSBA LN Equity</v>
          </cell>
          <cell r="Q10" t="str">
            <v>HSBCHD CDS GBP SR 5Y D14</v>
          </cell>
          <cell r="R10" t="str">
            <v>HSBCHD CDS GBP SR 1Y D14</v>
          </cell>
          <cell r="S10" t="str">
            <v>HSBC GB USD SR 5Y Corp</v>
          </cell>
        </row>
        <row r="11">
          <cell r="A11" t="str">
            <v>BRITAIN</v>
          </cell>
          <cell r="B11" t="str">
            <v>6152Z LN Equity</v>
          </cell>
          <cell r="C11" t="str">
            <v>UK CDS USD SR 5Y D14 Corp</v>
          </cell>
          <cell r="D11" t="str">
            <v>GUKG5 Index</v>
          </cell>
          <cell r="E11" t="str">
            <v>BPSW5 Curncy</v>
          </cell>
          <cell r="F11" t="str">
            <v>UKX Index</v>
          </cell>
          <cell r="G11" t="str">
            <v>USDGBP Curncy</v>
          </cell>
          <cell r="H11" t="str">
            <v>UKRPYOY Index</v>
          </cell>
          <cell r="I11" t="str">
            <v>UKRPMOM Index</v>
          </cell>
          <cell r="J11" t="str">
            <v>UKUEILOR Index</v>
          </cell>
          <cell r="N11" t="str">
            <v>Credit Suisse Group AG</v>
          </cell>
          <cell r="O11" t="str">
            <v>1236172D LN Equity</v>
          </cell>
          <cell r="P11" t="str">
            <v>CSGN SW Equity</v>
          </cell>
          <cell r="Q11" t="str">
            <v>CRDSUI CDS EUR SR 5Y D14 Corp</v>
          </cell>
          <cell r="R11" t="str">
            <v>CRDSUI CDS EUR SR 1Y D14 Corp</v>
          </cell>
          <cell r="S11" t="str">
            <v>CS GB USD SR 5Y Corp</v>
          </cell>
        </row>
        <row r="12">
          <cell r="A12" t="str">
            <v>CZECH REPUBLIC</v>
          </cell>
          <cell r="B12" t="str">
            <v>1040Z CP Equity</v>
          </cell>
          <cell r="C12" t="str">
            <v>CZECH CDS USD SR 5Y D14 Corp</v>
          </cell>
          <cell r="D12" t="str">
            <v>CZGB5YR Index</v>
          </cell>
          <cell r="E12" t="str">
            <v>CKSW5 Curncy</v>
          </cell>
          <cell r="F12" t="str">
            <v>PX Index</v>
          </cell>
          <cell r="G12" t="str">
            <v>USDCZK Curncy</v>
          </cell>
          <cell r="H12" t="str">
            <v>CZCPYOY Index</v>
          </cell>
          <cell r="I12" t="str">
            <v>CZCPMOM Index</v>
          </cell>
          <cell r="J12" t="str">
            <v>CZJLUNR Index</v>
          </cell>
          <cell r="N12" t="str">
            <v>RBS Group PLC</v>
          </cell>
          <cell r="O12" t="str">
            <v>RBS LN Equity</v>
          </cell>
          <cell r="P12" t="str">
            <v>RBS LN Equity</v>
          </cell>
          <cell r="Q12" t="str">
            <v>CRBS1E5 CBIN Curncy</v>
          </cell>
          <cell r="R12" t="str">
            <v>RPSPLC CDS EUR SR 1Y D14 Corp</v>
          </cell>
          <cell r="S12" t="str">
            <v>EI189405 Corp</v>
          </cell>
        </row>
        <row r="13">
          <cell r="A13" t="str">
            <v>DENMARK</v>
          </cell>
          <cell r="B13" t="str">
            <v>1271Z DC Equity</v>
          </cell>
          <cell r="C13" t="str">
            <v>DENK CDS USD SR 5Y D14 Corp</v>
          </cell>
          <cell r="D13" t="str">
            <v>GDGB5YR  Index</v>
          </cell>
          <cell r="E13" t="str">
            <v>DKSW5 Curncy</v>
          </cell>
          <cell r="F13" t="str">
            <v>KFX Index</v>
          </cell>
          <cell r="G13" t="str">
            <v>USDDKK Curncy</v>
          </cell>
          <cell r="H13" t="str">
            <v>DNCPIYOY Index</v>
          </cell>
          <cell r="I13" t="str">
            <v>DNCPIMOM Index</v>
          </cell>
          <cell r="J13" t="str">
            <v>DEUEGRAT Index</v>
          </cell>
          <cell r="N13" t="str">
            <v>Bank of Nova Scotia</v>
          </cell>
          <cell r="O13" t="str">
            <v>BNS CN Equity</v>
          </cell>
          <cell r="P13" t="str">
            <v>BNS CN Equity</v>
          </cell>
          <cell r="Q13" t="str">
            <v>BNS CDS USD SR 5Y D14 Corp</v>
          </cell>
          <cell r="R13" t="str">
            <v>BNS CDS USD SR 1Y D14 Corp</v>
          </cell>
          <cell r="S13" t="str">
            <v>BNS GB USD SR 5Y Corp</v>
          </cell>
        </row>
        <row r="14">
          <cell r="A14" t="str">
            <v>FINLAND</v>
          </cell>
          <cell r="B14" t="str">
            <v>1306Z FH Equity</v>
          </cell>
          <cell r="C14" t="str">
            <v>FINL CDS USD SR 5Y D14 Corp</v>
          </cell>
          <cell r="D14" t="str">
            <v>GFIN5YR Index</v>
          </cell>
          <cell r="E14" t="str">
            <v>EUSA5 CMPN Curncy</v>
          </cell>
          <cell r="F14" t="str">
            <v>HEX Index</v>
          </cell>
          <cell r="G14" t="str">
            <v>USDEUR Curncy</v>
          </cell>
          <cell r="H14" t="str">
            <v>FICP2YOY Index</v>
          </cell>
          <cell r="I14" t="str">
            <v>FICP2MOM Index</v>
          </cell>
          <cell r="J14" t="str">
            <v>FIUER Index</v>
          </cell>
          <cell r="N14" t="str">
            <v>BMO</v>
          </cell>
          <cell r="O14" t="str">
            <v>BMO CN Equity</v>
          </cell>
          <cell r="P14" t="str">
            <v>BMO CN Equity</v>
          </cell>
          <cell r="Q14" t="str">
            <v>BMO CDS USD SR 5Y D14 Corp</v>
          </cell>
          <cell r="R14" t="str">
            <v>BMO CDS USD SR 1Y D14 Corp</v>
          </cell>
          <cell r="S14" t="str">
            <v>QJ076587 Corp</v>
          </cell>
        </row>
        <row r="15">
          <cell r="A15" t="str">
            <v>FRANCE</v>
          </cell>
          <cell r="B15" t="str">
            <v>223727Z FP Equity</v>
          </cell>
          <cell r="C15" t="str">
            <v>FRANCE CDS USD SR 5Y D14 Corp</v>
          </cell>
          <cell r="D15" t="str">
            <v>GFRN5 Index</v>
          </cell>
          <cell r="E15" t="str">
            <v>EUSA5 CMPN Curncy</v>
          </cell>
          <cell r="F15" t="str">
            <v>CAC Index</v>
          </cell>
          <cell r="G15" t="str">
            <v>USDEUR Curncy</v>
          </cell>
          <cell r="H15" t="str">
            <v>FRCPISYY Index</v>
          </cell>
          <cell r="I15" t="str">
            <v>FRCPISMM Index</v>
          </cell>
          <cell r="J15" t="str">
            <v>FRUEREU Index</v>
          </cell>
          <cell r="N15" t="str">
            <v>CIBC</v>
          </cell>
          <cell r="O15" t="str">
            <v>CM CN Equity</v>
          </cell>
          <cell r="P15" t="str">
            <v>CM CN Equity</v>
          </cell>
          <cell r="S15" t="str">
            <v>CM 1.85 07/14/20 Corp</v>
          </cell>
        </row>
        <row r="16">
          <cell r="A16" t="str">
            <v>GERMANY</v>
          </cell>
          <cell r="B16" t="str">
            <v>3413Z GR Equity</v>
          </cell>
          <cell r="C16" t="str">
            <v>GERMAN CDS USD SR 5Y D14 Corp</v>
          </cell>
          <cell r="D16" t="str">
            <v>GDBR5 Index</v>
          </cell>
          <cell r="E16" t="str">
            <v>EUSA5 CMPN Curncy</v>
          </cell>
          <cell r="F16" t="str">
            <v>DAX Index</v>
          </cell>
          <cell r="G16" t="str">
            <v>USDEUR Curncy</v>
          </cell>
          <cell r="H16" t="str">
            <v>GRCP20YY Index</v>
          </cell>
          <cell r="I16" t="str">
            <v>GRCP20MM Index</v>
          </cell>
          <cell r="J16" t="str">
            <v>GRUEPR Index</v>
          </cell>
          <cell r="N16" t="str">
            <v>TD</v>
          </cell>
          <cell r="O16" t="str">
            <v>TD US Equity</v>
          </cell>
          <cell r="P16" t="str">
            <v>TD CN Equity</v>
          </cell>
          <cell r="Q16" t="str">
            <v>TD CDS USD SR 5Y D14 Corp</v>
          </cell>
          <cell r="R16" t="str">
            <v>TD CDS USD SR 1Y D14 Corp</v>
          </cell>
          <cell r="S16" t="str">
            <v>TD 2.621 12/22/21 Corp</v>
          </cell>
        </row>
        <row r="17">
          <cell r="A17" t="str">
            <v>GREECE</v>
          </cell>
          <cell r="B17" t="str">
            <v>1004Z GA Equity</v>
          </cell>
          <cell r="C17" t="str">
            <v>GREECE CDS USD SR 5Y D14 Corp</v>
          </cell>
          <cell r="D17" t="str">
            <v>GGGB5YR Index</v>
          </cell>
          <cell r="E17" t="str">
            <v>EUSA5 CMPN Curncy</v>
          </cell>
          <cell r="F17" t="str">
            <v>ASE Index</v>
          </cell>
          <cell r="G17" t="str">
            <v>USDEUR Curncy</v>
          </cell>
          <cell r="H17" t="str">
            <v>GKCPNEWY Index</v>
          </cell>
          <cell r="I17" t="str">
            <v>GKCPNEWM Index</v>
          </cell>
          <cell r="J17" t="str">
            <v>GKUERATE Index</v>
          </cell>
          <cell r="N17" t="str">
            <v>RBC</v>
          </cell>
          <cell r="O17" t="str">
            <v>RY CN Equity</v>
          </cell>
          <cell r="P17" t="str">
            <v>RY CN Equity</v>
          </cell>
          <cell r="S17" t="str">
            <v>RY GB USD SR 5Y Corp</v>
          </cell>
        </row>
        <row r="18">
          <cell r="A18" t="str">
            <v>IRELAND</v>
          </cell>
          <cell r="B18" t="str">
            <v>1266Z ID Equity</v>
          </cell>
          <cell r="C18" t="str">
            <v>IRELND CDS USD SR 5Y D14 Corp</v>
          </cell>
          <cell r="D18" t="str">
            <v>GTIEP5YR  Corp</v>
          </cell>
          <cell r="E18" t="str">
            <v>EUSA5 CMPN Curncy</v>
          </cell>
          <cell r="F18" t="str">
            <v>ISEQ Index</v>
          </cell>
          <cell r="G18" t="str">
            <v>USDEUR Curncy</v>
          </cell>
          <cell r="H18" t="str">
            <v>IECPIYOY Index</v>
          </cell>
          <cell r="I18" t="str">
            <v>IECPIMOM Index</v>
          </cell>
          <cell r="J18" t="str">
            <v>IEUERT Index</v>
          </cell>
          <cell r="N18" t="str">
            <v>Nationale</v>
          </cell>
          <cell r="O18" t="str">
            <v>NA CN Equity</v>
          </cell>
          <cell r="P18" t="str">
            <v>NA CN Equity</v>
          </cell>
          <cell r="S18" t="str">
            <v>EK777641 Corp</v>
          </cell>
        </row>
        <row r="19">
          <cell r="A19" t="str">
            <v>ITALY</v>
          </cell>
          <cell r="B19" t="str">
            <v>2103Z IM Equity</v>
          </cell>
          <cell r="C19" t="str">
            <v>ITALY CDS USD SR 5Y D14 Corp</v>
          </cell>
          <cell r="D19" t="str">
            <v>GBTPGR5 Index</v>
          </cell>
          <cell r="E19" t="str">
            <v>EUSA5 CMPN Curncy</v>
          </cell>
          <cell r="F19" t="str">
            <v>FTSEMIB Index</v>
          </cell>
          <cell r="G19" t="str">
            <v>USDEUR Curncy</v>
          </cell>
          <cell r="H19" t="str">
            <v>ITCPNICY Index</v>
          </cell>
          <cell r="I19" t="str">
            <v>ITCPNICM Index</v>
          </cell>
          <cell r="J19" t="str">
            <v>ITMUURS Index</v>
          </cell>
          <cell r="N19" t="str">
            <v>Deutche Bank AG</v>
          </cell>
          <cell r="O19" t="str">
            <v>DBK GR Equity</v>
          </cell>
          <cell r="P19" t="str">
            <v>DBK GR Equity</v>
          </cell>
          <cell r="Q19" t="str">
            <v>CDB1E5 CBIN Curncy</v>
          </cell>
          <cell r="R19" t="str">
            <v>DB CDS EUR SR 1Y D14</v>
          </cell>
          <cell r="S19" t="str">
            <v>LW0631934 Corp</v>
          </cell>
        </row>
        <row r="20">
          <cell r="A20" t="str">
            <v>LUXEMBOURG</v>
          </cell>
          <cell r="B20" t="str">
            <v>1110Z LX Equity</v>
          </cell>
          <cell r="C20" t="str">
            <v>LUXEMBOURG CDS USD SR 5Y D14 Corp</v>
          </cell>
          <cell r="D20" t="str">
            <v>EI2501308 Corp</v>
          </cell>
          <cell r="E20" t="str">
            <v>EUSA5 CMPN Curncy</v>
          </cell>
          <cell r="F20" t="str">
            <v>LUXXX Index</v>
          </cell>
          <cell r="G20" t="str">
            <v>USDEUR Curncy</v>
          </cell>
          <cell r="H20" t="str">
            <v>LXCPIYOY Index</v>
          </cell>
          <cell r="J20" t="str">
            <v>LXUERS Index</v>
          </cell>
          <cell r="N20" t="str">
            <v>Barclays Bank PLC</v>
          </cell>
          <cell r="P20" t="str">
            <v>BARC LN Equity</v>
          </cell>
          <cell r="Q20" t="str">
            <v>CBAR1E5 CBIN Curncy</v>
          </cell>
          <cell r="R20" t="str">
            <v>CBAR1E1 CBIN Curncy</v>
          </cell>
          <cell r="S20" t="str">
            <v>BACR GB USD SR 5Y Corp</v>
          </cell>
        </row>
        <row r="21">
          <cell r="A21" t="str">
            <v>NETHERLANDS</v>
          </cell>
          <cell r="B21" t="str">
            <v>1533Z NA Equity</v>
          </cell>
          <cell r="C21" t="str">
            <v>NETHER CDS USD SR 5Y D14 Corp</v>
          </cell>
          <cell r="D21" t="str">
            <v>GNTH5YR Index</v>
          </cell>
          <cell r="E21" t="str">
            <v>EUSA5 CMPN Curncy</v>
          </cell>
          <cell r="F21" t="str">
            <v>AEX Index</v>
          </cell>
          <cell r="G21" t="str">
            <v>USDEUR Curncy</v>
          </cell>
          <cell r="H21" t="str">
            <v>NECPIYOY Index</v>
          </cell>
          <cell r="I21" t="str">
            <v>NECPIMOM Index</v>
          </cell>
          <cell r="J21" t="str">
            <v>NEUETOTR Index</v>
          </cell>
          <cell r="N21" t="str">
            <v>Goldman Sachs Group</v>
          </cell>
          <cell r="P21" t="str">
            <v>GS US Equity</v>
          </cell>
          <cell r="Q21" t="str">
            <v>CGS1U5 CBIN Curncy</v>
          </cell>
          <cell r="R21" t="str">
            <v>CGS1U1 CBIN Curncy</v>
          </cell>
          <cell r="S21" t="str">
            <v>GS GB USD SR 5Y Corp</v>
          </cell>
        </row>
        <row r="22">
          <cell r="A22" t="str">
            <v>NORWAY</v>
          </cell>
          <cell r="B22" t="str">
            <v>1233Z NO Equity</v>
          </cell>
          <cell r="C22" t="str">
            <v>NORWAY CDS USD SR 5Y D14 Corp</v>
          </cell>
          <cell r="D22" t="str">
            <v>EI2488605 Corp</v>
          </cell>
          <cell r="E22" t="str">
            <v>NKSW5 Curncy</v>
          </cell>
          <cell r="F22" t="str">
            <v>OSEAX Index</v>
          </cell>
          <cell r="G22" t="str">
            <v>USDNOK Curncy</v>
          </cell>
          <cell r="H22" t="str">
            <v>NOCPIYOY Index</v>
          </cell>
          <cell r="I22" t="str">
            <v>NOCPIMOM Index</v>
          </cell>
          <cell r="J22" t="str">
            <v>NOLBRATE Index</v>
          </cell>
          <cell r="N22" t="str">
            <v>Morgan Stanley</v>
          </cell>
          <cell r="P22" t="str">
            <v>MS US Equity</v>
          </cell>
          <cell r="Q22" t="str">
            <v>CMWD1U5 CBIN Curncy</v>
          </cell>
          <cell r="R22" t="str">
            <v>MS CDS USD SR 1Y D14</v>
          </cell>
          <cell r="S22" t="str">
            <v>MS GB USD SR 5Y Corp</v>
          </cell>
        </row>
        <row r="23">
          <cell r="A23" t="str">
            <v>POLAND</v>
          </cell>
          <cell r="B23" t="str">
            <v>1084Z PW Equity</v>
          </cell>
          <cell r="C23" t="str">
            <v>POLAND CDS USD SR 5Y D14 Corp</v>
          </cell>
          <cell r="D23" t="str">
            <v>POGB5YR Index</v>
          </cell>
          <cell r="E23" t="str">
            <v>PZSW5 Curncy</v>
          </cell>
          <cell r="F23" t="str">
            <v>WIG Index</v>
          </cell>
          <cell r="G23" t="str">
            <v>USDPLN Curncy</v>
          </cell>
          <cell r="H23" t="str">
            <v>POCPIYOY Index</v>
          </cell>
          <cell r="I23" t="str">
            <v>POCPIMOM Index</v>
          </cell>
          <cell r="J23" t="str">
            <v>POUER Index</v>
          </cell>
          <cell r="N23" t="str">
            <v>State Street Bank &amp; Trust</v>
          </cell>
          <cell r="P23" t="str">
            <v>STT US Equity</v>
          </cell>
          <cell r="Q23" t="str">
            <v>STT CDS USD SR 5Y D14</v>
          </cell>
          <cell r="R23" t="str">
            <v>STT CDS USD SR 1Y D14</v>
          </cell>
          <cell r="S23" t="str">
            <v>STT GB USD SR 5Y Corp</v>
          </cell>
        </row>
        <row r="24">
          <cell r="A24" t="str">
            <v>PORTUGAL</v>
          </cell>
          <cell r="B24" t="str">
            <v>1174Z PL Equity</v>
          </cell>
          <cell r="C24" t="str">
            <v>PORTUG CDS USD SR 5Y D14 Corp</v>
          </cell>
          <cell r="D24" t="str">
            <v>GSPT5YR Index</v>
          </cell>
          <cell r="E24" t="str">
            <v>EUSA5 CMPN Curncy</v>
          </cell>
          <cell r="F24" t="str">
            <v>PSI20 Index</v>
          </cell>
          <cell r="G24" t="str">
            <v>USDEUR Curncy</v>
          </cell>
          <cell r="H24" t="str">
            <v>PLCPYOY Index</v>
          </cell>
          <cell r="I24" t="str">
            <v>PLCPMOM Index</v>
          </cell>
          <cell r="J24" t="str">
            <v>PTUE Index</v>
          </cell>
        </row>
        <row r="25">
          <cell r="A25" t="str">
            <v>SLOVENIA</v>
          </cell>
          <cell r="B25" t="str">
            <v>1091Z SV Equity</v>
          </cell>
          <cell r="C25" t="str">
            <v>SLOVEN CDS USD SR 5Y D14 Corp</v>
          </cell>
          <cell r="D25" t="str">
            <v>EI1152335 Corp</v>
          </cell>
          <cell r="E25" t="str">
            <v>EUSA5 CMPN Curncy</v>
          </cell>
          <cell r="F25" t="str">
            <v>SBITOP Index</v>
          </cell>
          <cell r="G25" t="str">
            <v>USDEUR Curncy</v>
          </cell>
          <cell r="H25" t="str">
            <v>SVCPYOY Index</v>
          </cell>
          <cell r="I25" t="str">
            <v>SVCPMOM Index</v>
          </cell>
          <cell r="J25" t="str">
            <v>SVUER Index</v>
          </cell>
        </row>
        <row r="26">
          <cell r="A26" t="str">
            <v>SPAIN</v>
          </cell>
          <cell r="B26" t="str">
            <v>1841Z SM Equity</v>
          </cell>
          <cell r="C26" t="str">
            <v>SPAIN CDS USD SR 5Y D14 Corp</v>
          </cell>
          <cell r="D26" t="str">
            <v>GSPG5YR Index</v>
          </cell>
          <cell r="E26" t="str">
            <v>EUSA5 CMPN Curncy</v>
          </cell>
          <cell r="F26" t="str">
            <v>IBEX Index</v>
          </cell>
          <cell r="G26" t="str">
            <v>USDEUR Curncy</v>
          </cell>
          <cell r="H26" t="str">
            <v>SPIPCYOY Index</v>
          </cell>
          <cell r="I26" t="str">
            <v>SPIPCMOM Index</v>
          </cell>
          <cell r="J26" t="str">
            <v>SPUNEMPR Index</v>
          </cell>
        </row>
        <row r="27">
          <cell r="A27" t="str">
            <v>SWEDEN</v>
          </cell>
          <cell r="B27" t="str">
            <v>1179Z SS Equity</v>
          </cell>
          <cell r="C27" t="str">
            <v>SWED CDS USD SR 5Y D14 Corp</v>
          </cell>
          <cell r="D27" t="str">
            <v>GSGB5YR Index</v>
          </cell>
          <cell r="E27" t="str">
            <v>SKSW5 Curncy</v>
          </cell>
          <cell r="F27" t="str">
            <v>OMX Index</v>
          </cell>
          <cell r="G27" t="str">
            <v>USDSEK Index</v>
          </cell>
          <cell r="H27" t="str">
            <v>SWCPYOY Index</v>
          </cell>
          <cell r="I27" t="str">
            <v>SWCPMOM Index</v>
          </cell>
          <cell r="J27" t="str">
            <v>SWUERATE Index</v>
          </cell>
        </row>
        <row r="28">
          <cell r="A28" t="str">
            <v>SWITZERLAND</v>
          </cell>
          <cell r="B28" t="str">
            <v>344758Z SW Equity</v>
          </cell>
          <cell r="C28" t="str">
            <v>SWISS CDS USD SR 5Y D14 Corp</v>
          </cell>
          <cell r="D28" t="str">
            <v>GSWISS05 Index</v>
          </cell>
          <cell r="E28" t="str">
            <v>SFSW5 Curncy</v>
          </cell>
          <cell r="F28" t="str">
            <v>SMI Index</v>
          </cell>
          <cell r="G28" t="str">
            <v>USDCHF Curncy</v>
          </cell>
          <cell r="H28" t="str">
            <v>SZCPIYOY Index</v>
          </cell>
          <cell r="I28" t="str">
            <v>SZCPIMOM Index</v>
          </cell>
          <cell r="J28" t="str">
            <v>SZUEUEA Index</v>
          </cell>
        </row>
        <row r="29">
          <cell r="A29" t="str">
            <v>UKRAINE</v>
          </cell>
          <cell r="B29" t="str">
            <v>1089Z UZ Equity</v>
          </cell>
          <cell r="C29" t="str">
            <v>CUKR1U5 CBBT Curncy</v>
          </cell>
          <cell r="D29" t="str">
            <v>GTUAH5YR  Corp</v>
          </cell>
          <cell r="E29" t="str">
            <v>UKSW5 Curncy</v>
          </cell>
          <cell r="F29" t="str">
            <v>PFTS Index</v>
          </cell>
          <cell r="G29" t="str">
            <v>USDUAH Curncy</v>
          </cell>
          <cell r="H29" t="str">
            <v>UACPTYOY Index</v>
          </cell>
          <cell r="J29" t="str">
            <v>UAUEILO Index</v>
          </cell>
        </row>
        <row r="30">
          <cell r="A30" t="str">
            <v>Asia/Pacific</v>
          </cell>
        </row>
        <row r="31">
          <cell r="A31" t="str">
            <v>AUSTRALIA</v>
          </cell>
          <cell r="B31" t="str">
            <v>1525Z AU Equity</v>
          </cell>
          <cell r="C31" t="str">
            <v>AUSTLA CDS USD SR 5Y D14 Corp</v>
          </cell>
          <cell r="D31" t="str">
            <v>GACGB5 Index</v>
          </cell>
          <cell r="E31" t="str">
            <v>ADSWAP5 Curncy</v>
          </cell>
          <cell r="F31" t="str">
            <v>AS51 Index</v>
          </cell>
          <cell r="G31" t="str">
            <v>USDAUD Curncy</v>
          </cell>
          <cell r="H31" t="str">
            <v>AUCPIYOY Index</v>
          </cell>
          <cell r="I31" t="str">
            <v>AUCPICHG Index</v>
          </cell>
          <cell r="J31" t="str">
            <v>AULFUNEM Index</v>
          </cell>
        </row>
        <row r="32">
          <cell r="A32" t="str">
            <v>CHINA</v>
          </cell>
          <cell r="B32" t="str">
            <v>PRCH CH Equity</v>
          </cell>
          <cell r="C32" t="str">
            <v>CHINAGOV CDS USD SR 5Y D14 Corp</v>
          </cell>
          <cell r="D32" t="str">
            <v>GCNY5YR Index</v>
          </cell>
          <cell r="E32" t="str">
            <v>CCSWN5 Curncy</v>
          </cell>
          <cell r="F32" t="str">
            <v>SHCOMP Index</v>
          </cell>
          <cell r="G32" t="str">
            <v>USDCNY Index</v>
          </cell>
          <cell r="H32" t="str">
            <v>CNCPIYOY Index</v>
          </cell>
          <cell r="J32" t="str">
            <v>CNUERATE Index</v>
          </cell>
        </row>
        <row r="33">
          <cell r="A33" t="str">
            <v>HONG KONG</v>
          </cell>
          <cell r="B33" t="str">
            <v>3343935Z HK Equity</v>
          </cell>
          <cell r="C33" t="str">
            <v>HONGK CDS USD SR 5Y D14 Corp</v>
          </cell>
          <cell r="D33" t="str">
            <v>EI4809337 Corp</v>
          </cell>
          <cell r="E33" t="str">
            <v>HDSW5 Curncy</v>
          </cell>
          <cell r="F33" t="str">
            <v>HSI Index</v>
          </cell>
          <cell r="G33" t="str">
            <v>USDHKD Curncy</v>
          </cell>
          <cell r="H33" t="str">
            <v>HKCPIY Index</v>
          </cell>
          <cell r="I33" t="str">
            <v>HKCPIM Index</v>
          </cell>
          <cell r="J33" t="str">
            <v>HKUERATE Index</v>
          </cell>
        </row>
        <row r="34">
          <cell r="A34" t="str">
            <v>INDIA</v>
          </cell>
          <cell r="B34" t="str">
            <v>1504Z IN Equity</v>
          </cell>
          <cell r="C34" t="str">
            <v>INDIA CDS USD SR 5Y D14 Corp</v>
          </cell>
          <cell r="D34" t="str">
            <v>GIND5YR Index</v>
          </cell>
          <cell r="E34" t="str">
            <v>IRSWO5 Curncy</v>
          </cell>
          <cell r="F34" t="str">
            <v>SENSEX Index</v>
          </cell>
          <cell r="G34" t="str">
            <v>USDINR Curncy</v>
          </cell>
          <cell r="H34" t="str">
            <v>INFUTOTY Index</v>
          </cell>
          <cell r="J34" t="str">
            <v>INUNCIA Index</v>
          </cell>
        </row>
        <row r="35">
          <cell r="A35" t="str">
            <v>JAPAN</v>
          </cell>
          <cell r="B35" t="str">
            <v>JAPZ JP Equity</v>
          </cell>
          <cell r="C35" t="str">
            <v>JAPAN CDS USD SR 5Y D14 Corp</v>
          </cell>
          <cell r="D35" t="str">
            <v>GJGB5 Index</v>
          </cell>
          <cell r="E35" t="str">
            <v>JYSWAP5 Curncy</v>
          </cell>
          <cell r="F35" t="str">
            <v>TPX Index</v>
          </cell>
          <cell r="G35" t="str">
            <v>USDJPY BGN Curncy</v>
          </cell>
          <cell r="H35" t="str">
            <v>JNCPIYOY Index</v>
          </cell>
          <cell r="J35" t="str">
            <v>JNUE Index</v>
          </cell>
        </row>
        <row r="36">
          <cell r="A36" t="str">
            <v>MALAYSIA</v>
          </cell>
          <cell r="B36" t="str">
            <v>1124Z MK Equity</v>
          </cell>
          <cell r="C36" t="str">
            <v>MALAYS CDS USD SR 5Y D14 Corp</v>
          </cell>
          <cell r="D36" t="str">
            <v>MGIY5Y Index</v>
          </cell>
          <cell r="E36" t="str">
            <v>MRSWQO5 Curncy</v>
          </cell>
          <cell r="F36" t="str">
            <v>FBMKLCI Index</v>
          </cell>
          <cell r="G36" t="str">
            <v>USDMYR Curncy</v>
          </cell>
          <cell r="H36" t="str">
            <v>MACPIYOY Index</v>
          </cell>
          <cell r="I36" t="str">
            <v>MACPIMOM Index</v>
          </cell>
          <cell r="J36" t="str">
            <v>MAEPRATE Index</v>
          </cell>
        </row>
        <row r="37">
          <cell r="A37" t="str">
            <v>NEW ZEALAND</v>
          </cell>
          <cell r="B37" t="str">
            <v>46443Z NZ Equity</v>
          </cell>
          <cell r="C37" t="str">
            <v>NZ CDS USD SR 5Y D14 Corp</v>
          </cell>
          <cell r="D37" t="str">
            <v>GNZGB5 Index</v>
          </cell>
          <cell r="E37" t="str">
            <v>NDSWAP5 Curncy</v>
          </cell>
          <cell r="F37" t="str">
            <v>NZSE50FG Index</v>
          </cell>
          <cell r="G37" t="str">
            <v>USDNZD Curncy</v>
          </cell>
          <cell r="H37" t="str">
            <v>NZCPIYOY Index</v>
          </cell>
          <cell r="I37" t="str">
            <v>NZCPICHG Index</v>
          </cell>
          <cell r="J37" t="str">
            <v>NZLFUNER Index</v>
          </cell>
        </row>
        <row r="38">
          <cell r="A38" t="str">
            <v>RUSSIA</v>
          </cell>
          <cell r="B38" t="str">
            <v>4458Z RU Equity</v>
          </cell>
          <cell r="C38" t="str">
            <v>RUSSIA CDS USD SR 5Y D14 Corp</v>
          </cell>
          <cell r="D38" t="str">
            <v>GTRUB5YR  Corp</v>
          </cell>
          <cell r="F38" t="str">
            <v>INDEXCF Index</v>
          </cell>
          <cell r="G38" t="str">
            <v>USDRUB Curncy</v>
          </cell>
          <cell r="H38" t="str">
            <v>RUCPIYOY Index</v>
          </cell>
          <cell r="I38" t="str">
            <v>RUCPIMOM Index</v>
          </cell>
          <cell r="J38" t="str">
            <v>RUUER Index</v>
          </cell>
        </row>
        <row r="39">
          <cell r="A39" t="str">
            <v>SINGAPORE</v>
          </cell>
          <cell r="B39" t="str">
            <v>1545Z SP Equity</v>
          </cell>
          <cell r="C39" t="str">
            <v>SINGAP CDS USD SR 5Y D14 Corp</v>
          </cell>
          <cell r="D39" t="str">
            <v>MASB5Y Index</v>
          </cell>
          <cell r="E39" t="str">
            <v>SDSW5 Curncy</v>
          </cell>
          <cell r="F39" t="str">
            <v>FSSTI Index</v>
          </cell>
          <cell r="G39" t="str">
            <v>USDSGD Curncy</v>
          </cell>
          <cell r="H39" t="str">
            <v>SICPIYOY Index</v>
          </cell>
          <cell r="I39" t="str">
            <v>SICPIMOM Index</v>
          </cell>
          <cell r="J39" t="str">
            <v>SIQUTOTA Index</v>
          </cell>
        </row>
        <row r="40">
          <cell r="A40" t="str">
            <v>SOUTH KOREA</v>
          </cell>
          <cell r="B40" t="str">
            <v>ROKZ KS Equity</v>
          </cell>
          <cell r="C40" t="str">
            <v>KOREA CDS USD SR 5Y D14 Corp</v>
          </cell>
          <cell r="D40" t="str">
            <v>GVSK5YR Index</v>
          </cell>
          <cell r="E40" t="str">
            <v>KWSWO5 Curncy</v>
          </cell>
          <cell r="F40" t="str">
            <v>KOSPI Index</v>
          </cell>
          <cell r="G40" t="str">
            <v>USDKRW Curncy</v>
          </cell>
          <cell r="H40" t="str">
            <v>KOCPIYOY Index</v>
          </cell>
          <cell r="I40" t="str">
            <v>KOCPIMOM Index</v>
          </cell>
          <cell r="J40" t="str">
            <v>KOEAUERS Index</v>
          </cell>
        </row>
        <row r="41">
          <cell r="A41" t="str">
            <v>TAIWAN</v>
          </cell>
          <cell r="B41" t="str">
            <v>116657Z TT Equity</v>
          </cell>
          <cell r="D41" t="str">
            <v>GVTW5YR Index</v>
          </cell>
          <cell r="E41" t="str">
            <v>NTSWO5 Curncy</v>
          </cell>
          <cell r="F41" t="str">
            <v>TWSE Index</v>
          </cell>
          <cell r="G41" t="str">
            <v>USDTWD Curncy</v>
          </cell>
          <cell r="H41" t="str">
            <v>TWCPIYOY Index</v>
          </cell>
          <cell r="I41" t="str">
            <v>TWCPII Index</v>
          </cell>
          <cell r="J41" t="str">
            <v>TWLFADJ Index</v>
          </cell>
        </row>
        <row r="42">
          <cell r="A42" t="str">
            <v>THAILAND</v>
          </cell>
          <cell r="B42" t="str">
            <v>1179Z TB Equity</v>
          </cell>
          <cell r="C42" t="str">
            <v>THAI CDS USD SR 5Y D14 Corp</v>
          </cell>
          <cell r="D42" t="str">
            <v>GVTL5YR Index</v>
          </cell>
          <cell r="E42" t="str">
            <v>TBSWO5 Curncy</v>
          </cell>
          <cell r="F42" t="str">
            <v>SET Index</v>
          </cell>
          <cell r="G42" t="str">
            <v>USDTHB Curncy</v>
          </cell>
          <cell r="H42" t="str">
            <v>THCPIYOY Index</v>
          </cell>
          <cell r="I42" t="str">
            <v>THCPIMOM Index</v>
          </cell>
          <cell r="J42" t="str">
            <v>THLMUERT Index</v>
          </cell>
        </row>
        <row r="43">
          <cell r="A43" t="str">
            <v>South Africa</v>
          </cell>
          <cell r="B43" t="str">
            <v>50184Z SJ Equity</v>
          </cell>
          <cell r="C43" t="str">
            <v>REPSOU CDS USD SR 5Y D14 Corp</v>
          </cell>
          <cell r="D43" t="str">
            <v>GTZAR5Y Govt</v>
          </cell>
          <cell r="E43" t="str">
            <v>SASW5 Curncy</v>
          </cell>
          <cell r="F43" t="str">
            <v>TOP40 Index</v>
          </cell>
          <cell r="G43" t="str">
            <v>USDZAR Curncy</v>
          </cell>
          <cell r="H43" t="str">
            <v>SCP8EPNY Index</v>
          </cell>
          <cell r="I43" t="str">
            <v>SCP8014M Index</v>
          </cell>
          <cell r="J43" t="str">
            <v>SAUERATQ Index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1">
          <cell r="C1">
            <v>46218</v>
          </cell>
        </row>
      </sheetData>
      <sheetData sheetId="9" refreshError="1"/>
      <sheetData sheetId="10" refreshError="1"/>
      <sheetData sheetId="1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s"/>
      <sheetName val="CDS"/>
      <sheetName val="CDS Chart"/>
      <sheetName val="LTM Price Chart"/>
      <sheetName val="5yr CDS Graph"/>
      <sheetName val="Data"/>
      <sheetName val="CDS Index Tearsheet"/>
      <sheetName val="Index Data"/>
    </sheetNames>
    <sheetDataSet>
      <sheetData sheetId="0" refreshError="1"/>
      <sheetData sheetId="1" refreshError="1"/>
      <sheetData sheetId="2" refreshError="1"/>
      <sheetData sheetId="3">
        <row r="6">
          <cell r="R6">
            <v>45825</v>
          </cell>
        </row>
        <row r="7">
          <cell r="R7">
            <v>45826</v>
          </cell>
        </row>
        <row r="8">
          <cell r="R8">
            <v>45828</v>
          </cell>
        </row>
        <row r="9">
          <cell r="R9">
            <v>45831</v>
          </cell>
        </row>
        <row r="10">
          <cell r="R10">
            <v>45832</v>
          </cell>
        </row>
        <row r="11">
          <cell r="R11">
            <v>45833</v>
          </cell>
        </row>
        <row r="12">
          <cell r="R12">
            <v>45834</v>
          </cell>
        </row>
        <row r="13">
          <cell r="R13">
            <v>45835</v>
          </cell>
        </row>
        <row r="14">
          <cell r="R14">
            <v>45838</v>
          </cell>
        </row>
        <row r="15">
          <cell r="R15">
            <v>45839</v>
          </cell>
        </row>
        <row r="16">
          <cell r="R16">
            <v>45840</v>
          </cell>
        </row>
        <row r="17">
          <cell r="R17">
            <v>45841</v>
          </cell>
        </row>
        <row r="18">
          <cell r="R18">
            <v>45845</v>
          </cell>
        </row>
        <row r="19">
          <cell r="R19">
            <v>45846</v>
          </cell>
        </row>
        <row r="20">
          <cell r="R20">
            <v>45847</v>
          </cell>
        </row>
        <row r="21">
          <cell r="R21">
            <v>45848</v>
          </cell>
        </row>
        <row r="22">
          <cell r="R22">
            <v>45849</v>
          </cell>
        </row>
        <row r="23">
          <cell r="R23">
            <v>45852</v>
          </cell>
        </row>
        <row r="24">
          <cell r="R24">
            <v>45853</v>
          </cell>
        </row>
        <row r="25">
          <cell r="R25">
            <v>45854</v>
          </cell>
        </row>
        <row r="26">
          <cell r="R26">
            <v>45855</v>
          </cell>
        </row>
        <row r="27">
          <cell r="R27">
            <v>45856</v>
          </cell>
        </row>
        <row r="28">
          <cell r="R28">
            <v>45859</v>
          </cell>
        </row>
        <row r="29">
          <cell r="R29">
            <v>45860</v>
          </cell>
        </row>
        <row r="30">
          <cell r="R30">
            <v>45861</v>
          </cell>
        </row>
        <row r="31">
          <cell r="R31">
            <v>45862</v>
          </cell>
        </row>
        <row r="32">
          <cell r="R32">
            <v>45863</v>
          </cell>
        </row>
        <row r="33">
          <cell r="R33">
            <v>45866</v>
          </cell>
        </row>
        <row r="34">
          <cell r="R34">
            <v>45867</v>
          </cell>
        </row>
        <row r="35">
          <cell r="R35">
            <v>45868</v>
          </cell>
        </row>
        <row r="36">
          <cell r="R36">
            <v>45869</v>
          </cell>
        </row>
        <row r="37">
          <cell r="R37">
            <v>45870</v>
          </cell>
        </row>
        <row r="38">
          <cell r="R38">
            <v>45873</v>
          </cell>
        </row>
        <row r="39">
          <cell r="R39">
            <v>45874</v>
          </cell>
        </row>
        <row r="40">
          <cell r="R40">
            <v>45875</v>
          </cell>
        </row>
        <row r="41">
          <cell r="R41">
            <v>45876</v>
          </cell>
        </row>
        <row r="42">
          <cell r="R42">
            <v>45877</v>
          </cell>
        </row>
        <row r="43">
          <cell r="R43">
            <v>45880</v>
          </cell>
        </row>
        <row r="44">
          <cell r="R44">
            <v>45881</v>
          </cell>
        </row>
        <row r="45">
          <cell r="R45">
            <v>45882</v>
          </cell>
        </row>
        <row r="46">
          <cell r="R46">
            <v>45883</v>
          </cell>
        </row>
        <row r="47">
          <cell r="R47">
            <v>45884</v>
          </cell>
        </row>
        <row r="48">
          <cell r="R48">
            <v>45887</v>
          </cell>
        </row>
        <row r="49">
          <cell r="R49">
            <v>45888</v>
          </cell>
        </row>
        <row r="50">
          <cell r="R50">
            <v>45889</v>
          </cell>
        </row>
        <row r="51">
          <cell r="R51">
            <v>45890</v>
          </cell>
        </row>
        <row r="52">
          <cell r="R52">
            <v>45891</v>
          </cell>
        </row>
        <row r="53">
          <cell r="R53">
            <v>45894</v>
          </cell>
        </row>
        <row r="54">
          <cell r="R54">
            <v>45895</v>
          </cell>
        </row>
        <row r="55">
          <cell r="R55">
            <v>45896</v>
          </cell>
        </row>
        <row r="56">
          <cell r="R56">
            <v>45897</v>
          </cell>
        </row>
        <row r="57">
          <cell r="R57">
            <v>45898</v>
          </cell>
        </row>
        <row r="58">
          <cell r="R58">
            <v>45902</v>
          </cell>
        </row>
        <row r="59">
          <cell r="R59">
            <v>45903</v>
          </cell>
        </row>
        <row r="60">
          <cell r="R60">
            <v>45904</v>
          </cell>
        </row>
        <row r="61">
          <cell r="R61">
            <v>45905</v>
          </cell>
        </row>
        <row r="62">
          <cell r="R62">
            <v>45908</v>
          </cell>
        </row>
        <row r="63">
          <cell r="R63">
            <v>45909</v>
          </cell>
        </row>
        <row r="64">
          <cell r="R64">
            <v>45910</v>
          </cell>
        </row>
        <row r="65">
          <cell r="R65">
            <v>45911</v>
          </cell>
        </row>
        <row r="66">
          <cell r="R66">
            <v>45912</v>
          </cell>
        </row>
        <row r="67">
          <cell r="R67">
            <v>45915</v>
          </cell>
        </row>
        <row r="68">
          <cell r="R68">
            <v>45916</v>
          </cell>
        </row>
        <row r="69">
          <cell r="R69">
            <v>45917</v>
          </cell>
        </row>
        <row r="70">
          <cell r="R70">
            <v>45918</v>
          </cell>
        </row>
        <row r="71">
          <cell r="R71">
            <v>45919</v>
          </cell>
        </row>
        <row r="72">
          <cell r="R72">
            <v>45922</v>
          </cell>
        </row>
        <row r="73">
          <cell r="R73">
            <v>45923</v>
          </cell>
        </row>
        <row r="74">
          <cell r="R74">
            <v>45924</v>
          </cell>
        </row>
        <row r="75">
          <cell r="R75">
            <v>45925</v>
          </cell>
        </row>
        <row r="76">
          <cell r="R76">
            <v>45926</v>
          </cell>
        </row>
        <row r="77">
          <cell r="R77">
            <v>45929</v>
          </cell>
        </row>
        <row r="78">
          <cell r="R78">
            <v>45930</v>
          </cell>
        </row>
        <row r="79">
          <cell r="R79">
            <v>45931</v>
          </cell>
        </row>
        <row r="80">
          <cell r="R80">
            <v>45932</v>
          </cell>
        </row>
        <row r="81">
          <cell r="R81">
            <v>45933</v>
          </cell>
        </row>
        <row r="82">
          <cell r="R82">
            <v>45936</v>
          </cell>
        </row>
        <row r="83">
          <cell r="R83">
            <v>45937</v>
          </cell>
        </row>
        <row r="84">
          <cell r="R84">
            <v>45938</v>
          </cell>
        </row>
        <row r="85">
          <cell r="R85">
            <v>45939</v>
          </cell>
        </row>
        <row r="86">
          <cell r="R86">
            <v>45940</v>
          </cell>
        </row>
        <row r="87">
          <cell r="R87">
            <v>45943</v>
          </cell>
        </row>
        <row r="88">
          <cell r="R88">
            <v>45944</v>
          </cell>
        </row>
        <row r="89">
          <cell r="R89">
            <v>45945</v>
          </cell>
        </row>
        <row r="90">
          <cell r="R90">
            <v>45946</v>
          </cell>
        </row>
        <row r="91">
          <cell r="R91">
            <v>45947</v>
          </cell>
        </row>
        <row r="92">
          <cell r="R92">
            <v>45950</v>
          </cell>
        </row>
        <row r="93">
          <cell r="R93">
            <v>45951</v>
          </cell>
        </row>
        <row r="94">
          <cell r="R94">
            <v>45952</v>
          </cell>
        </row>
        <row r="95">
          <cell r="R95">
            <v>45953</v>
          </cell>
        </row>
        <row r="96">
          <cell r="R96">
            <v>45954</v>
          </cell>
        </row>
        <row r="97">
          <cell r="R97">
            <v>45957</v>
          </cell>
        </row>
        <row r="98">
          <cell r="R98">
            <v>45958</v>
          </cell>
        </row>
        <row r="99">
          <cell r="R99">
            <v>45959</v>
          </cell>
        </row>
        <row r="100">
          <cell r="R100">
            <v>45960</v>
          </cell>
        </row>
        <row r="101">
          <cell r="R101">
            <v>45961</v>
          </cell>
        </row>
        <row r="102">
          <cell r="R102">
            <v>45964</v>
          </cell>
        </row>
        <row r="103">
          <cell r="R103">
            <v>45965</v>
          </cell>
        </row>
        <row r="104">
          <cell r="R104">
            <v>45966</v>
          </cell>
        </row>
        <row r="105">
          <cell r="R105">
            <v>45967</v>
          </cell>
        </row>
        <row r="106">
          <cell r="R106">
            <v>45968</v>
          </cell>
        </row>
        <row r="107">
          <cell r="R107">
            <v>45971</v>
          </cell>
        </row>
        <row r="108">
          <cell r="R108">
            <v>45972</v>
          </cell>
        </row>
        <row r="109">
          <cell r="R109">
            <v>45973</v>
          </cell>
        </row>
        <row r="110">
          <cell r="R110">
            <v>45974</v>
          </cell>
        </row>
        <row r="111">
          <cell r="R111">
            <v>45975</v>
          </cell>
        </row>
        <row r="112">
          <cell r="R112">
            <v>45978</v>
          </cell>
        </row>
        <row r="113">
          <cell r="R113">
            <v>45979</v>
          </cell>
        </row>
        <row r="114">
          <cell r="R114">
            <v>45980</v>
          </cell>
        </row>
        <row r="115">
          <cell r="R115">
            <v>45981</v>
          </cell>
        </row>
        <row r="116">
          <cell r="R116">
            <v>45982</v>
          </cell>
        </row>
        <row r="117">
          <cell r="R117">
            <v>45985</v>
          </cell>
        </row>
        <row r="118">
          <cell r="R118">
            <v>45986</v>
          </cell>
        </row>
        <row r="119">
          <cell r="R119">
            <v>45987</v>
          </cell>
        </row>
        <row r="120">
          <cell r="R120">
            <v>45989</v>
          </cell>
        </row>
        <row r="121">
          <cell r="R121">
            <v>45992</v>
          </cell>
        </row>
        <row r="122">
          <cell r="R122">
            <v>45993</v>
          </cell>
        </row>
        <row r="123">
          <cell r="R123">
            <v>45994</v>
          </cell>
        </row>
        <row r="124">
          <cell r="R124">
            <v>45995</v>
          </cell>
        </row>
        <row r="125">
          <cell r="R125">
            <v>45996</v>
          </cell>
        </row>
        <row r="126">
          <cell r="R126">
            <v>45999</v>
          </cell>
        </row>
        <row r="127">
          <cell r="R127">
            <v>46000</v>
          </cell>
        </row>
        <row r="128">
          <cell r="R128">
            <v>46001</v>
          </cell>
        </row>
        <row r="129">
          <cell r="R129">
            <v>46002</v>
          </cell>
        </row>
        <row r="130">
          <cell r="R130">
            <v>46003</v>
          </cell>
        </row>
        <row r="131">
          <cell r="R131">
            <v>46006</v>
          </cell>
        </row>
        <row r="132">
          <cell r="R132">
            <v>46007</v>
          </cell>
        </row>
        <row r="133">
          <cell r="R133">
            <v>46008</v>
          </cell>
        </row>
        <row r="134">
          <cell r="R134">
            <v>46009</v>
          </cell>
        </row>
        <row r="135">
          <cell r="R135">
            <v>46010</v>
          </cell>
        </row>
        <row r="136">
          <cell r="R136">
            <v>46013</v>
          </cell>
        </row>
        <row r="137">
          <cell r="R137">
            <v>46014</v>
          </cell>
        </row>
        <row r="138">
          <cell r="R138">
            <v>46015</v>
          </cell>
        </row>
        <row r="139">
          <cell r="R139">
            <v>46017</v>
          </cell>
        </row>
        <row r="140">
          <cell r="R140">
            <v>46020</v>
          </cell>
        </row>
        <row r="141">
          <cell r="R141">
            <v>46021</v>
          </cell>
        </row>
        <row r="142">
          <cell r="R142">
            <v>46022</v>
          </cell>
        </row>
        <row r="143">
          <cell r="R143">
            <v>46024</v>
          </cell>
        </row>
        <row r="144">
          <cell r="R144">
            <v>46027</v>
          </cell>
        </row>
        <row r="145">
          <cell r="R145">
            <v>46028</v>
          </cell>
        </row>
        <row r="146">
          <cell r="R146">
            <v>46029</v>
          </cell>
        </row>
        <row r="147">
          <cell r="R147">
            <v>46030</v>
          </cell>
        </row>
        <row r="148">
          <cell r="R148">
            <v>46031</v>
          </cell>
        </row>
        <row r="149">
          <cell r="R149">
            <v>46034</v>
          </cell>
        </row>
        <row r="150">
          <cell r="R150">
            <v>46035</v>
          </cell>
        </row>
        <row r="151">
          <cell r="R151">
            <v>46036</v>
          </cell>
        </row>
        <row r="152">
          <cell r="R152">
            <v>46037</v>
          </cell>
        </row>
        <row r="153">
          <cell r="R153">
            <v>46038</v>
          </cell>
        </row>
        <row r="154">
          <cell r="R154">
            <v>46042</v>
          </cell>
        </row>
        <row r="155">
          <cell r="R155">
            <v>46043</v>
          </cell>
        </row>
        <row r="156">
          <cell r="R156">
            <v>46044</v>
          </cell>
        </row>
        <row r="157">
          <cell r="R157">
            <v>46045</v>
          </cell>
        </row>
        <row r="158">
          <cell r="R158">
            <v>46048</v>
          </cell>
        </row>
        <row r="159">
          <cell r="R159">
            <v>46049</v>
          </cell>
        </row>
        <row r="160">
          <cell r="R160">
            <v>46050</v>
          </cell>
        </row>
        <row r="161">
          <cell r="R161">
            <v>46051</v>
          </cell>
        </row>
        <row r="162">
          <cell r="R162">
            <v>46052</v>
          </cell>
        </row>
        <row r="163">
          <cell r="R163">
            <v>46055</v>
          </cell>
        </row>
        <row r="164">
          <cell r="R164">
            <v>46056</v>
          </cell>
        </row>
        <row r="165">
          <cell r="R165">
            <v>46057</v>
          </cell>
        </row>
        <row r="166">
          <cell r="R166">
            <v>46058</v>
          </cell>
        </row>
        <row r="167">
          <cell r="R167">
            <v>46059</v>
          </cell>
        </row>
        <row r="168">
          <cell r="R168">
            <v>46062</v>
          </cell>
        </row>
        <row r="169">
          <cell r="R169">
            <v>46063</v>
          </cell>
        </row>
        <row r="170">
          <cell r="R170">
            <v>46064</v>
          </cell>
        </row>
        <row r="171">
          <cell r="R171">
            <v>46065</v>
          </cell>
        </row>
        <row r="172">
          <cell r="R172">
            <v>46066</v>
          </cell>
        </row>
        <row r="173">
          <cell r="R173">
            <v>46070</v>
          </cell>
        </row>
        <row r="174">
          <cell r="R174">
            <v>46071</v>
          </cell>
        </row>
        <row r="175">
          <cell r="R175">
            <v>46072</v>
          </cell>
        </row>
        <row r="176">
          <cell r="R176">
            <v>46073</v>
          </cell>
        </row>
        <row r="177">
          <cell r="R177">
            <v>46076</v>
          </cell>
        </row>
        <row r="178">
          <cell r="R178">
            <v>46077</v>
          </cell>
        </row>
        <row r="179">
          <cell r="R179">
            <v>46078</v>
          </cell>
        </row>
        <row r="180">
          <cell r="R180">
            <v>46079</v>
          </cell>
        </row>
        <row r="181">
          <cell r="R181">
            <v>46080</v>
          </cell>
        </row>
        <row r="182">
          <cell r="R182">
            <v>46083</v>
          </cell>
        </row>
        <row r="183">
          <cell r="R183">
            <v>46084</v>
          </cell>
        </row>
        <row r="184">
          <cell r="R184">
            <v>46085</v>
          </cell>
        </row>
        <row r="185">
          <cell r="R185">
            <v>46086</v>
          </cell>
        </row>
        <row r="186">
          <cell r="R186">
            <v>46087</v>
          </cell>
        </row>
        <row r="187">
          <cell r="R187">
            <v>46090</v>
          </cell>
        </row>
        <row r="188">
          <cell r="R188">
            <v>46091</v>
          </cell>
        </row>
        <row r="189">
          <cell r="R189">
            <v>46092</v>
          </cell>
        </row>
        <row r="190">
          <cell r="R190">
            <v>46093</v>
          </cell>
        </row>
        <row r="191">
          <cell r="R191">
            <v>46094</v>
          </cell>
        </row>
        <row r="192">
          <cell r="R192">
            <v>46097</v>
          </cell>
        </row>
        <row r="193">
          <cell r="R193">
            <v>46098</v>
          </cell>
        </row>
        <row r="194">
          <cell r="R194">
            <v>46099</v>
          </cell>
        </row>
        <row r="195">
          <cell r="R195">
            <v>46100</v>
          </cell>
        </row>
        <row r="196">
          <cell r="R196">
            <v>46101</v>
          </cell>
        </row>
        <row r="197">
          <cell r="R197">
            <v>46104</v>
          </cell>
        </row>
        <row r="198">
          <cell r="R198">
            <v>46105</v>
          </cell>
        </row>
        <row r="199">
          <cell r="R199">
            <v>46106</v>
          </cell>
        </row>
        <row r="200">
          <cell r="R200">
            <v>46107</v>
          </cell>
        </row>
        <row r="201">
          <cell r="R201">
            <v>46108</v>
          </cell>
        </row>
        <row r="202">
          <cell r="R202">
            <v>46111</v>
          </cell>
        </row>
        <row r="203">
          <cell r="R203">
            <v>46112</v>
          </cell>
        </row>
        <row r="204">
          <cell r="R204">
            <v>46113</v>
          </cell>
        </row>
        <row r="205">
          <cell r="R205">
            <v>46114</v>
          </cell>
        </row>
        <row r="206">
          <cell r="R206">
            <v>46118</v>
          </cell>
        </row>
        <row r="207">
          <cell r="R207">
            <v>46119</v>
          </cell>
        </row>
        <row r="208">
          <cell r="R208">
            <v>46120</v>
          </cell>
        </row>
        <row r="209">
          <cell r="R209">
            <v>46121</v>
          </cell>
        </row>
        <row r="210">
          <cell r="R210">
            <v>46122</v>
          </cell>
        </row>
        <row r="211">
          <cell r="R211">
            <v>46125</v>
          </cell>
        </row>
        <row r="212">
          <cell r="R212">
            <v>46126</v>
          </cell>
        </row>
        <row r="213">
          <cell r="R213">
            <v>46127</v>
          </cell>
        </row>
        <row r="214">
          <cell r="R214">
            <v>46128</v>
          </cell>
        </row>
        <row r="215">
          <cell r="R215">
            <v>46129</v>
          </cell>
        </row>
        <row r="216">
          <cell r="R216">
            <v>46132</v>
          </cell>
        </row>
        <row r="217">
          <cell r="R217">
            <v>46133</v>
          </cell>
        </row>
        <row r="218">
          <cell r="R218">
            <v>46134</v>
          </cell>
        </row>
        <row r="219">
          <cell r="R219">
            <v>46135</v>
          </cell>
        </row>
        <row r="220">
          <cell r="R220">
            <v>46136</v>
          </cell>
        </row>
        <row r="221">
          <cell r="R221">
            <v>46139</v>
          </cell>
        </row>
        <row r="222">
          <cell r="R222">
            <v>46140</v>
          </cell>
        </row>
        <row r="223">
          <cell r="R223">
            <v>46141</v>
          </cell>
        </row>
        <row r="224">
          <cell r="R224">
            <v>46142</v>
          </cell>
        </row>
        <row r="225">
          <cell r="R225">
            <v>46143</v>
          </cell>
        </row>
        <row r="226">
          <cell r="R226">
            <v>46146</v>
          </cell>
        </row>
        <row r="227">
          <cell r="R227">
            <v>46147</v>
          </cell>
        </row>
        <row r="228">
          <cell r="R228">
            <v>46148</v>
          </cell>
        </row>
        <row r="229">
          <cell r="R229">
            <v>46149</v>
          </cell>
        </row>
        <row r="230">
          <cell r="R230">
            <v>46150</v>
          </cell>
        </row>
        <row r="231">
          <cell r="R231">
            <v>46153</v>
          </cell>
        </row>
        <row r="232">
          <cell r="R232">
            <v>46154</v>
          </cell>
        </row>
        <row r="233">
          <cell r="R233">
            <v>46155</v>
          </cell>
        </row>
        <row r="234">
          <cell r="R234">
            <v>46156</v>
          </cell>
        </row>
        <row r="235">
          <cell r="R235">
            <v>46157</v>
          </cell>
        </row>
        <row r="236">
          <cell r="R236">
            <v>46160</v>
          </cell>
        </row>
        <row r="237">
          <cell r="R237">
            <v>46161</v>
          </cell>
        </row>
        <row r="238">
          <cell r="R238">
            <v>46162</v>
          </cell>
        </row>
        <row r="239">
          <cell r="R239">
            <v>46163</v>
          </cell>
        </row>
        <row r="240">
          <cell r="R240">
            <v>46164</v>
          </cell>
        </row>
        <row r="241">
          <cell r="R241">
            <v>46168</v>
          </cell>
        </row>
        <row r="242">
          <cell r="R242">
            <v>46169</v>
          </cell>
        </row>
        <row r="243">
          <cell r="R243">
            <v>46170</v>
          </cell>
        </row>
        <row r="244">
          <cell r="R244">
            <v>46171</v>
          </cell>
        </row>
        <row r="245">
          <cell r="R245">
            <v>46174</v>
          </cell>
        </row>
        <row r="246">
          <cell r="R246">
            <v>46175</v>
          </cell>
        </row>
        <row r="247">
          <cell r="R247">
            <v>46176</v>
          </cell>
        </row>
        <row r="248">
          <cell r="R248">
            <v>46177</v>
          </cell>
        </row>
        <row r="249">
          <cell r="R249">
            <v>46178</v>
          </cell>
        </row>
        <row r="250">
          <cell r="R250">
            <v>46181</v>
          </cell>
        </row>
        <row r="251">
          <cell r="R251">
            <v>46182</v>
          </cell>
        </row>
        <row r="252">
          <cell r="R252">
            <v>46183</v>
          </cell>
        </row>
        <row r="253">
          <cell r="R253">
            <v>46184</v>
          </cell>
        </row>
        <row r="254">
          <cell r="R254">
            <v>46185</v>
          </cell>
        </row>
        <row r="255">
          <cell r="R255">
            <v>46188</v>
          </cell>
        </row>
        <row r="256">
          <cell r="R256">
            <v>46189</v>
          </cell>
        </row>
        <row r="257">
          <cell r="R257">
            <v>46190</v>
          </cell>
        </row>
      </sheetData>
      <sheetData sheetId="4" refreshError="1"/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24F70-796A-4294-ACCE-B0EA6EF644B8}">
  <dimension ref="A1:DI1"/>
  <sheetViews>
    <sheetView workbookViewId="0"/>
  </sheetViews>
  <sheetFormatPr defaultRowHeight="14.5"/>
  <sheetData>
    <row r="1" spans="1:113">
      <c r="A1">
        <v>113</v>
      </c>
      <c r="B1" t="s">
        <v>276</v>
      </c>
      <c r="C1" t="s">
        <v>277</v>
      </c>
      <c r="D1" t="s">
        <v>278</v>
      </c>
      <c r="E1" t="s">
        <v>279</v>
      </c>
      <c r="F1" t="s">
        <v>280</v>
      </c>
      <c r="G1" t="s">
        <v>281</v>
      </c>
      <c r="H1" t="s">
        <v>282</v>
      </c>
      <c r="I1" t="s">
        <v>283</v>
      </c>
      <c r="J1" t="s">
        <v>284</v>
      </c>
      <c r="K1" t="s">
        <v>285</v>
      </c>
      <c r="L1" t="s">
        <v>286</v>
      </c>
      <c r="M1" t="s">
        <v>287</v>
      </c>
      <c r="N1" t="s">
        <v>288</v>
      </c>
      <c r="O1" t="s">
        <v>289</v>
      </c>
      <c r="P1" t="s">
        <v>290</v>
      </c>
      <c r="Q1" t="s">
        <v>291</v>
      </c>
      <c r="R1" t="s">
        <v>292</v>
      </c>
      <c r="S1" t="s">
        <v>293</v>
      </c>
      <c r="T1" t="s">
        <v>294</v>
      </c>
      <c r="U1" t="s">
        <v>295</v>
      </c>
      <c r="V1" t="s">
        <v>296</v>
      </c>
      <c r="W1" t="s">
        <v>297</v>
      </c>
      <c r="X1" t="s">
        <v>298</v>
      </c>
      <c r="Y1" t="s">
        <v>299</v>
      </c>
      <c r="Z1" t="s">
        <v>300</v>
      </c>
      <c r="AA1" t="s">
        <v>301</v>
      </c>
      <c r="AB1" t="s">
        <v>302</v>
      </c>
      <c r="AC1" t="s">
        <v>303</v>
      </c>
      <c r="AD1" t="s">
        <v>304</v>
      </c>
      <c r="AE1" t="s">
        <v>305</v>
      </c>
      <c r="AF1" t="s">
        <v>306</v>
      </c>
      <c r="AG1" t="s">
        <v>307</v>
      </c>
      <c r="AH1" t="s">
        <v>308</v>
      </c>
      <c r="AI1" t="s">
        <v>309</v>
      </c>
      <c r="AJ1" t="s">
        <v>310</v>
      </c>
      <c r="AK1" t="s">
        <v>311</v>
      </c>
      <c r="AL1" t="s">
        <v>312</v>
      </c>
      <c r="AM1" t="s">
        <v>313</v>
      </c>
      <c r="AN1" t="s">
        <v>314</v>
      </c>
      <c r="AO1" t="s">
        <v>315</v>
      </c>
      <c r="AP1" t="s">
        <v>316</v>
      </c>
      <c r="AQ1" t="s">
        <v>317</v>
      </c>
      <c r="AR1" t="s">
        <v>318</v>
      </c>
      <c r="AS1" t="s">
        <v>319</v>
      </c>
      <c r="AT1" t="s">
        <v>320</v>
      </c>
      <c r="AU1" t="s">
        <v>321</v>
      </c>
      <c r="AV1" t="s">
        <v>322</v>
      </c>
      <c r="AW1" t="s">
        <v>323</v>
      </c>
      <c r="AX1" t="s">
        <v>324</v>
      </c>
      <c r="AY1" t="s">
        <v>325</v>
      </c>
      <c r="AZ1" t="s">
        <v>326</v>
      </c>
      <c r="BA1" t="s">
        <v>327</v>
      </c>
      <c r="BB1" t="s">
        <v>328</v>
      </c>
      <c r="BC1" t="s">
        <v>329</v>
      </c>
      <c r="BD1" t="s">
        <v>330</v>
      </c>
      <c r="BE1" t="s">
        <v>331</v>
      </c>
      <c r="BF1" t="s">
        <v>332</v>
      </c>
      <c r="BG1" t="s">
        <v>333</v>
      </c>
      <c r="BH1" t="s">
        <v>334</v>
      </c>
      <c r="BI1" t="s">
        <v>335</v>
      </c>
      <c r="BJ1" t="s">
        <v>336</v>
      </c>
      <c r="BK1" t="s">
        <v>337</v>
      </c>
      <c r="BL1" t="s">
        <v>338</v>
      </c>
      <c r="BM1" t="s">
        <v>339</v>
      </c>
      <c r="BN1" t="s">
        <v>340</v>
      </c>
      <c r="BO1" t="s">
        <v>341</v>
      </c>
      <c r="BP1" t="s">
        <v>342</v>
      </c>
      <c r="BQ1" t="s">
        <v>343</v>
      </c>
      <c r="BR1" t="s">
        <v>344</v>
      </c>
      <c r="BS1" t="s">
        <v>345</v>
      </c>
      <c r="BT1" t="s">
        <v>346</v>
      </c>
      <c r="BU1" t="s">
        <v>347</v>
      </c>
      <c r="BV1" t="s">
        <v>348</v>
      </c>
      <c r="BW1" t="s">
        <v>349</v>
      </c>
      <c r="BX1" t="s">
        <v>350</v>
      </c>
      <c r="BY1" t="s">
        <v>351</v>
      </c>
      <c r="BZ1" t="s">
        <v>352</v>
      </c>
      <c r="CA1" t="s">
        <v>353</v>
      </c>
      <c r="CB1" t="s">
        <v>354</v>
      </c>
      <c r="CC1" t="s">
        <v>355</v>
      </c>
      <c r="CD1" t="s">
        <v>356</v>
      </c>
      <c r="CE1" t="s">
        <v>357</v>
      </c>
      <c r="CF1" t="s">
        <v>358</v>
      </c>
      <c r="CG1" t="s">
        <v>359</v>
      </c>
      <c r="CH1" t="s">
        <v>360</v>
      </c>
      <c r="CI1" t="s">
        <v>361</v>
      </c>
      <c r="CJ1" t="s">
        <v>362</v>
      </c>
      <c r="CK1" t="s">
        <v>363</v>
      </c>
      <c r="CL1" t="s">
        <v>364</v>
      </c>
      <c r="CM1" t="s">
        <v>365</v>
      </c>
      <c r="CN1" t="s">
        <v>366</v>
      </c>
      <c r="CO1" t="s">
        <v>367</v>
      </c>
      <c r="CP1" t="s">
        <v>368</v>
      </c>
      <c r="CQ1" t="s">
        <v>369</v>
      </c>
      <c r="CR1" t="s">
        <v>370</v>
      </c>
      <c r="CS1" t="s">
        <v>371</v>
      </c>
      <c r="CT1" t="s">
        <v>372</v>
      </c>
      <c r="CU1" t="s">
        <v>373</v>
      </c>
      <c r="CV1" t="s">
        <v>374</v>
      </c>
      <c r="CW1" t="s">
        <v>375</v>
      </c>
      <c r="CX1" t="s">
        <v>376</v>
      </c>
      <c r="CY1" t="s">
        <v>377</v>
      </c>
      <c r="CZ1" t="s">
        <v>378</v>
      </c>
      <c r="DA1" t="s">
        <v>379</v>
      </c>
      <c r="DB1" t="s">
        <v>380</v>
      </c>
      <c r="DC1" t="s">
        <v>381</v>
      </c>
      <c r="DD1" t="s">
        <v>382</v>
      </c>
      <c r="DE1" t="s">
        <v>383</v>
      </c>
      <c r="DF1" t="s">
        <v>384</v>
      </c>
      <c r="DG1" t="s">
        <v>385</v>
      </c>
      <c r="DH1" t="s">
        <v>386</v>
      </c>
      <c r="DI1" t="s">
        <v>387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52"/>
  <sheetViews>
    <sheetView tabSelected="1" zoomScale="90" zoomScaleNormal="90" workbookViewId="0">
      <pane xSplit="2" ySplit="6" topLeftCell="C7" activePane="bottomRight" state="frozen"/>
      <selection pane="topRight"/>
      <selection pane="bottomLeft"/>
      <selection pane="bottomRight" activeCell="E16" sqref="E16"/>
    </sheetView>
  </sheetViews>
  <sheetFormatPr defaultRowHeight="14.5"/>
  <cols>
    <col min="1" max="2" width="18" customWidth="1"/>
    <col min="3" max="3" width="14.08984375" customWidth="1"/>
    <col min="4" max="4" width="10.36328125" customWidth="1"/>
    <col min="5" max="5" width="11.36328125" customWidth="1"/>
    <col min="6" max="6" width="11.1796875" customWidth="1"/>
    <col min="7" max="7" width="8" customWidth="1"/>
    <col min="8" max="8" width="10.1796875" customWidth="1"/>
    <col min="9" max="9" width="9.36328125" customWidth="1"/>
    <col min="10" max="11" width="11.7265625" customWidth="1"/>
    <col min="12" max="12" width="9.7265625" customWidth="1"/>
    <col min="13" max="13" width="9.81640625" customWidth="1"/>
    <col min="14" max="14" width="9.90625" customWidth="1"/>
    <col min="15" max="15" width="7" customWidth="1"/>
    <col min="16" max="16" width="15.36328125" customWidth="1"/>
    <col min="17" max="17" width="12.7265625" customWidth="1"/>
    <col min="18" max="18" width="13.7265625" customWidth="1"/>
    <col min="19" max="19" width="15.1796875" customWidth="1"/>
    <col min="22" max="22" width="11.81640625" customWidth="1"/>
    <col min="23" max="23" width="14" customWidth="1"/>
  </cols>
  <sheetData>
    <row r="1" spans="1:25" ht="24" customHeight="1">
      <c r="A1" s="65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</row>
    <row r="2" spans="1:25" ht="6" customHeight="1"/>
    <row r="3" spans="1:25">
      <c r="C3" s="67" t="s">
        <v>1</v>
      </c>
      <c r="D3" s="63"/>
      <c r="E3" s="63"/>
      <c r="F3" s="63"/>
      <c r="G3" s="63"/>
      <c r="H3" s="67" t="s">
        <v>2</v>
      </c>
      <c r="I3" s="63"/>
      <c r="J3" s="63"/>
      <c r="K3" s="63"/>
      <c r="L3" s="67" t="s">
        <v>3</v>
      </c>
      <c r="M3" s="63"/>
      <c r="N3" s="63"/>
      <c r="O3" s="63"/>
      <c r="P3" s="9"/>
      <c r="Q3" s="9"/>
    </row>
    <row r="4" spans="1:25" ht="28" customHeight="1">
      <c r="A4" s="1" t="s">
        <v>4</v>
      </c>
      <c r="B4" s="1" t="s">
        <v>5</v>
      </c>
      <c r="C4" s="1" t="s">
        <v>6</v>
      </c>
      <c r="D4" s="1" t="s">
        <v>7</v>
      </c>
      <c r="E4" s="1" t="s">
        <v>8</v>
      </c>
      <c r="F4" s="1" t="s">
        <v>9</v>
      </c>
      <c r="G4" s="1" t="s">
        <v>10</v>
      </c>
      <c r="H4" s="1" t="s">
        <v>7</v>
      </c>
      <c r="I4" s="1" t="s">
        <v>8</v>
      </c>
      <c r="J4" s="1" t="s">
        <v>9</v>
      </c>
      <c r="K4" s="1" t="s">
        <v>10</v>
      </c>
      <c r="L4" s="1" t="s">
        <v>7</v>
      </c>
      <c r="M4" s="1" t="s">
        <v>8</v>
      </c>
      <c r="N4" s="1" t="s">
        <v>9</v>
      </c>
      <c r="O4" s="1" t="s">
        <v>10</v>
      </c>
      <c r="P4" s="18" t="str" cm="1">
        <f t="array" ref="P4">_xll.ciqfunctions.udf.CIQ("AAPL-US","IQ_COMPANY_NAME")</f>
        <v>(Invalid Identifier)</v>
      </c>
      <c r="Q4" s="18"/>
    </row>
    <row r="5" spans="1:25">
      <c r="A5" s="64" t="s">
        <v>274</v>
      </c>
      <c r="B5" s="63"/>
      <c r="C5" s="2"/>
      <c r="D5" s="16">
        <v>-3</v>
      </c>
      <c r="E5" s="16">
        <v>-3</v>
      </c>
      <c r="F5" s="16">
        <v>-15</v>
      </c>
      <c r="G5" s="16">
        <v>-20</v>
      </c>
      <c r="H5" s="16">
        <v>3</v>
      </c>
      <c r="I5" s="16">
        <v>5</v>
      </c>
      <c r="J5" s="16">
        <v>15</v>
      </c>
      <c r="K5" s="16">
        <v>25</v>
      </c>
      <c r="L5" s="16"/>
      <c r="M5" s="16"/>
      <c r="N5" s="16"/>
      <c r="O5" s="16"/>
    </row>
    <row r="6" spans="1:25">
      <c r="A6" s="64" t="s">
        <v>275</v>
      </c>
      <c r="B6" s="63"/>
      <c r="C6" s="2"/>
      <c r="D6" s="16">
        <v>3</v>
      </c>
      <c r="E6" s="16">
        <v>3</v>
      </c>
      <c r="F6" s="16">
        <v>15</v>
      </c>
      <c r="G6" s="16">
        <v>20</v>
      </c>
      <c r="H6" s="16">
        <v>-3</v>
      </c>
      <c r="I6" s="16">
        <v>-5</v>
      </c>
      <c r="J6" s="16">
        <v>-15</v>
      </c>
      <c r="K6" s="16">
        <v>-25</v>
      </c>
      <c r="L6" s="16"/>
      <c r="M6" s="16"/>
      <c r="N6" s="16"/>
      <c r="O6" s="16"/>
      <c r="R6" s="14"/>
      <c r="S6" s="14"/>
      <c r="X6" s="33"/>
      <c r="Y6" s="33"/>
    </row>
    <row r="7" spans="1:25" ht="14" customHeight="1">
      <c r="A7" s="66" t="s">
        <v>11</v>
      </c>
      <c r="B7" s="68"/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9"/>
      <c r="P7" s="14" t="s">
        <v>93</v>
      </c>
      <c r="Q7" s="14" t="s">
        <v>94</v>
      </c>
      <c r="R7" s="14" t="s">
        <v>118</v>
      </c>
      <c r="S7" s="14" t="s">
        <v>119</v>
      </c>
      <c r="T7" s="14" t="s">
        <v>133</v>
      </c>
      <c r="U7" s="14" t="s">
        <v>160</v>
      </c>
      <c r="V7" s="14" t="s">
        <v>161</v>
      </c>
      <c r="W7" s="14"/>
    </row>
    <row r="8" spans="1:25" ht="14" customHeight="1">
      <c r="A8" s="3" t="s">
        <v>12</v>
      </c>
      <c r="B8" s="47"/>
      <c r="C8" s="45">
        <f ca="1">'CDS from CapitalIQ'!C3</f>
        <v>123.6443</v>
      </c>
      <c r="D8" s="28">
        <f ca="1">'CDS from CapitalIQ'!T3</f>
        <v>-1.6400000000004411E-2</v>
      </c>
      <c r="E8" s="28">
        <f ca="1">'CDS from CapitalIQ'!V3</f>
        <v>-1.7223999999999933</v>
      </c>
      <c r="F8" s="28">
        <f ca="1">'CDS from CapitalIQ'!W3</f>
        <v>-0.90470000000000539</v>
      </c>
      <c r="G8" s="36">
        <f ca="1">'CDS from CapitalIQ'!X3</f>
        <v>-23.691400000000002</v>
      </c>
      <c r="H8" s="37" cm="1">
        <f t="array" aca="1" ref="H8" ca="1">(_xll.TR(Q8,"TR.PriceClose")-_xll.TR(Q8,"TR.PriceClose","SDate:"&amp;TEXT(WORKDAY(TODAY(),-5),"yyyy-mm-dd")))/_xll.TR(Q8,"TR.PriceClose","SDate:"&amp;TEXT(WORKDAY(TODAY(),-5),"yyyy-mm-dd"))*100</f>
        <v>-2.2719865481035035</v>
      </c>
      <c r="I8" s="4" cm="1">
        <f t="array" aca="1" ref="I8" ca="1">((_xll.TR(Q8,"TR.PriceClose")-_xll.TR(Q8,"TR.PriceClose","SDate:"&amp;TEXT(WORKDAY(TODAY(),-14),"yyyy-mm-dd")))/_xll.TR(Q8,"TR.PriceClose","SDate:"&amp;TEXT(WORKDAY(TODAY(),-14),"yyyy-mm-dd")))*100</f>
        <v>0.35791042251292104</v>
      </c>
      <c r="J8" s="4" cm="1">
        <f t="array" aca="1" ref="J8" ca="1">IFERROR(((_xll.TR(Q8,"TR.PriceClose")-_xll.TR(Q8,"TR.PriceClose","SDate:"&amp;EDATE(TODAY(),-3)))/_xll.TR(Q8,"TR.PriceClose","SDate:"&amp;EDATE(TODAY(),-3)))*100,"-")</f>
        <v>-11.192891804780908</v>
      </c>
      <c r="K8" s="53" cm="1">
        <f t="array" aca="1" ref="K8" ca="1">IFERROR(((_xll.TR(Q8,"TR.PriceClose")-_xll.TR(Q8,"TR.PriceClose","SDate:"&amp;EDATE(TODAY(),-12)))/_xll.TR(Q8,"TR.PriceClose","SDate:"&amp;EDATE(TODAY(),-12)))*100,"-")</f>
        <v>28.223068918953409</v>
      </c>
      <c r="L8" s="52" cm="1">
        <f t="array" aca="1" ref="L8" ca="1">_xll.TR(T8,"TR.MIDPRICE","SDate:"&amp;TEXT(WORKDAY(TODAY(),-5),"yyyy-mm-dd"))</f>
        <v>5.1094499999999998</v>
      </c>
      <c r="M8" s="4" cm="1">
        <f t="array" aca="1" ref="M8" ca="1">_xll.TR(T8,"TR.MIDPRICE","SDate:"&amp;TEXT(WORKDAY(TODAY(),-14),"yyyy-mm-dd"))</f>
        <v>5.17455</v>
      </c>
      <c r="N8" s="4" cm="1">
        <f t="array" ref="N8">-_xll.TR(T8,"PCTCHG_3M")</f>
        <v>-2.64</v>
      </c>
      <c r="O8" s="53" cm="1">
        <f t="array" ref="O8">-_xll.TR(T8,"PCTCHG_YTD")</f>
        <v>6.71</v>
      </c>
      <c r="P8" t="s">
        <v>90</v>
      </c>
      <c r="Q8" t="s">
        <v>95</v>
      </c>
      <c r="R8" cm="1">
        <f t="array" ref="R8">_xll.TR(Q8,"TR.PriceClose")</f>
        <v>173825.27</v>
      </c>
      <c r="S8" cm="1">
        <f t="array" aca="1" ref="S8" ca="1">_xll.TR(Q8,"TR.PriceClose","SDate:"&amp;TEXT(WORKDAY(TODAY(),-5),"yyyy-mm-dd"))</f>
        <v>177866.37</v>
      </c>
      <c r="T8" t="s">
        <v>134</v>
      </c>
      <c r="U8" s="9" cm="1">
        <f t="array" ref="U8">_xll.TR(T8,"BID")</f>
        <v>5.1097000000000001</v>
      </c>
      <c r="V8" s="9" cm="1">
        <f t="array" aca="1" ref="V8" ca="1">_xll.TR(T8,"CF_CLOSE","SDate:"&amp;TEXT(WORKDAY(TODAY(),-5),"yyyy-mm-dd"))</f>
        <v>5.1006999999999998</v>
      </c>
      <c r="W8" s="9"/>
    </row>
    <row r="9" spans="1:25" ht="14" customHeight="1">
      <c r="A9" s="5" t="s">
        <v>13</v>
      </c>
      <c r="B9" s="46"/>
      <c r="C9" s="45">
        <f ca="1">'CDS from CapitalIQ'!C4</f>
        <v>11.132099999999999</v>
      </c>
      <c r="D9" s="28">
        <f ca="1">'CDS from CapitalIQ'!T4</f>
        <v>-9.5800000000000551E-2</v>
      </c>
      <c r="E9" s="28">
        <f ca="1">'CDS from CapitalIQ'!V4</f>
        <v>-0.21590000000000131</v>
      </c>
      <c r="F9" s="28">
        <f ca="1">'CDS from CapitalIQ'!W4</f>
        <v>-1.609</v>
      </c>
      <c r="G9" s="36">
        <f ca="1">'CDS from CapitalIQ'!X4</f>
        <v>-5.0802999999999994</v>
      </c>
      <c r="H9" s="37" cm="1">
        <f t="array" aca="1" ref="H9" ca="1">(_xll.TR(Q9,"TR.PriceClose")-_xll.TR(Q9,"TR.PriceClose","SDate:"&amp;TEXT(WORKDAY(TODAY(),-5),"yyyy-mm-dd")))/_xll.TR(Q9,"TR.PriceClose","SDate:"&amp;TEXT(WORKDAY(TODAY(),-5),"yyyy-mm-dd"))*100</f>
        <v>9.8682039613881833E-2</v>
      </c>
      <c r="I9" s="4" cm="1">
        <f t="array" aca="1" ref="I9" ca="1">((_xll.TR(Q9,"TR.PriceClose")-_xll.TR(Q9,"TR.PriceClose","SDate:"&amp;TEXT(WORKDAY(TODAY(),-14),"yyyy-mm-dd")))/_xll.TR(Q9,"TR.PriceClose","SDate:"&amp;TEXT(WORKDAY(TODAY(),-14),"yyyy-mm-dd")))*100</f>
        <v>1.4826920194280861</v>
      </c>
      <c r="J9" s="4" cm="1">
        <f t="array" aca="1" ref="J9" ca="1">IFERROR(((_xll.TR(Q9,"TR.PriceClose")-_xll.TR(Q9,"TR.PriceClose","SDate:"&amp;EDATE(TODAY(),-3)))/_xll.TR(Q9,"TR.PriceClose","SDate:"&amp;EDATE(TODAY(),-3)))*100,"-")</f>
        <v>2.8936458639346507</v>
      </c>
      <c r="K9" s="53" cm="1">
        <f t="array" aca="1" ref="K9" ca="1">IFERROR(((_xll.TR(Q9,"TR.PriceClose")-_xll.TR(Q9,"TR.PriceClose","SDate:"&amp;EDATE(TODAY(),-12)))/_xll.TR(Q9,"TR.PriceClose","SDate:"&amp;EDATE(TODAY(),-12)))*100,"-")</f>
        <v>29.040202753649279</v>
      </c>
      <c r="L9" s="52" cm="1">
        <f t="array" aca="1" ref="L9" ca="1">_xll.TR(T9,"TR.BIDPRICE","SDate:"&amp;TEXT(WORKDAY(TODAY(),-5),"yyyy-mm-dd"))</f>
        <v>1.4153</v>
      </c>
      <c r="M9" s="4" cm="1">
        <f t="array" aca="1" ref="M9" ca="1">_xll.TR(T9,"TR.MIDPRICE","SDate:"&amp;TEXT(WORKDAY(TODAY(),-14),"yyyy-mm-dd"))</f>
        <v>1.4210499999999999</v>
      </c>
      <c r="N9" s="4" cm="1">
        <f t="array" ref="N9">-_xll.TR(T9,"PCTCHG_3M")</f>
        <v>-2.34</v>
      </c>
      <c r="O9" s="53" cm="1">
        <f t="array" ref="O9">-_xll.TR(T9,"PCTCHG_YTD")</f>
        <v>-2.11</v>
      </c>
      <c r="P9" t="s">
        <v>91</v>
      </c>
      <c r="Q9" t="s">
        <v>96</v>
      </c>
      <c r="R9" cm="1">
        <f t="array" ref="R9">_xll.TR(Q9,"TR.PriceClose")</f>
        <v>35340.15</v>
      </c>
      <c r="S9" cm="1">
        <f t="array" aca="1" ref="S9" ca="1">_xll.TR(Q9,"TR.PriceClose","SDate:"&amp;TEXT(WORKDAY(TODAY(),-5),"yyyy-mm-dd"))</f>
        <v>35305.31</v>
      </c>
      <c r="T9" t="s">
        <v>135</v>
      </c>
      <c r="U9" s="9" cm="1">
        <f t="array" ref="U9">_xll.TR(T9,"BID")</f>
        <v>1.4015</v>
      </c>
      <c r="V9" s="9" cm="1">
        <f t="array" aca="1" ref="V9" ca="1">_xll.TR(T9,"CF_CLOSE","SDate:"&amp;TEXT(WORKDAY(TODAY(),-5),"yyyy-mm-dd"))</f>
        <v>1.4040999999999999</v>
      </c>
    </row>
    <row r="10" spans="1:25" ht="14" customHeight="1">
      <c r="A10" s="3" t="s">
        <v>14</v>
      </c>
      <c r="B10" s="47"/>
      <c r="C10" s="45">
        <f ca="1">'CDS from CapitalIQ'!C5</f>
        <v>86.100300000000004</v>
      </c>
      <c r="D10" s="28">
        <f ca="1">'CDS from CapitalIQ'!T5</f>
        <v>1.4455999999999989</v>
      </c>
      <c r="E10" s="28">
        <f ca="1">'CDS from CapitalIQ'!V5</f>
        <v>-0.2820999999999998</v>
      </c>
      <c r="F10" s="28">
        <f ca="1">'CDS from CapitalIQ'!W5</f>
        <v>-1.1456000000000017</v>
      </c>
      <c r="G10" s="36">
        <f ca="1">'CDS from CapitalIQ'!X5</f>
        <v>-23.897499999999994</v>
      </c>
      <c r="H10" s="37" cm="1">
        <f t="array" aca="1" ref="H10" ca="1">(_xll.TR(Q10,"TR.PriceClose")-_xll.TR(Q10,"TR.PriceClose","SDate:"&amp;TEXT(WORKDAY(TODAY(),-5),"yyyy-mm-dd")))/_xll.TR(Q10,"TR.PriceClose","SDate:"&amp;TEXT(WORKDAY(TODAY(),-5),"yyyy-mm-dd"))*100</f>
        <v>-0.21055370164567441</v>
      </c>
      <c r="I10" s="4" cm="1">
        <f t="array" aca="1" ref="I10" ca="1">((_xll.TR(Q10,"TR.PriceClose")-_xll.TR(Q10,"TR.PriceClose","SDate:"&amp;TEXT(WORKDAY(TODAY(),-14),"yyyy-mm-dd")))/_xll.TR(Q10,"TR.PriceClose","SDate:"&amp;TEXT(WORKDAY(TODAY(),-14),"yyyy-mm-dd")))*100</f>
        <v>-1.8990076816302166</v>
      </c>
      <c r="J10" s="4" cm="1">
        <f t="array" aca="1" ref="J10" ca="1">IFERROR(((_xll.TR(Q10,"TR.PriceClose")-_xll.TR(Q10,"TR.PriceClose","SDate:"&amp;EDATE(TODAY(),-3)))/_xll.TR(Q10,"TR.PriceClose","SDate:"&amp;EDATE(TODAY(),-3)))*100,"-")</f>
        <v>-4.9692850536634463</v>
      </c>
      <c r="K10" s="53" cm="1">
        <f t="array" aca="1" ref="K10" ca="1">IFERROR(((_xll.TR(Q10,"TR.PriceClose")-_xll.TR(Q10,"TR.PriceClose","SDate:"&amp;EDATE(TODAY(),-12)))/_xll.TR(Q10,"TR.PriceClose","SDate:"&amp;EDATE(TODAY(),-12)))*100,"-")</f>
        <v>16.999353961885159</v>
      </c>
      <c r="L10" s="52" cm="1">
        <f t="array" aca="1" ref="L10" ca="1">_xll.TR(T10,"TR.BIDPRICE","SDate:"&amp;TEXT(WORKDAY(TODAY(),-5),"yyyy-mm-dd"))</f>
        <v>17.465</v>
      </c>
      <c r="M10" s="4" cm="1">
        <f t="array" aca="1" ref="M10" ca="1">_xll.TR(T10,"TR.MIDPRICE","SDate:"&amp;TEXT(WORKDAY(TODAY(),-14),"yyyy-mm-dd"))</f>
        <v>17.472000000000001</v>
      </c>
      <c r="N10" s="4" cm="1">
        <f t="array" ref="N10">-_xll.TR(T10,"PCTCHG_3M")</f>
        <v>-1.36</v>
      </c>
      <c r="O10" s="53" cm="1">
        <f t="array" ref="O10">-_xll.TR(T10,"PCTCHG_YTD")</f>
        <v>2.64</v>
      </c>
      <c r="P10" t="s">
        <v>92</v>
      </c>
      <c r="Q10" t="s">
        <v>97</v>
      </c>
      <c r="R10" cm="1">
        <f t="array" ref="R10">_xll.TR(Q10,"TR.PriceClose")</f>
        <v>66356.09</v>
      </c>
      <c r="S10" cm="1">
        <f t="array" aca="1" ref="S10" ca="1">_xll.TR(Q10,"TR.PriceClose","SDate:"&amp;TEXT(WORKDAY(TODAY(),-5),"yyyy-mm-dd"))</f>
        <v>66496.100000000006</v>
      </c>
      <c r="T10" t="s">
        <v>136</v>
      </c>
      <c r="U10" s="9" cm="1">
        <f t="array" ref="U10">_xll.TR(T10,"BID")</f>
        <v>17.529399999999999</v>
      </c>
      <c r="V10" s="9" cm="1">
        <f t="array" aca="1" ref="V10" ca="1">_xll.TR(T10,"CF_CLOSE","SDate:"&amp;TEXT(WORKDAY(TODAY(),-5),"yyyy-mm-dd"))</f>
        <v>17.414999999999999</v>
      </c>
    </row>
    <row r="11" spans="1:25" ht="14" customHeight="1">
      <c r="A11" s="5" t="s">
        <v>15</v>
      </c>
      <c r="B11" s="46"/>
      <c r="C11" s="45">
        <f ca="1">'CDS from CapitalIQ'!C6</f>
        <v>41.938299999999998</v>
      </c>
      <c r="D11" s="28">
        <f ca="1">'CDS from CapitalIQ'!T6</f>
        <v>0.10499999999999687</v>
      </c>
      <c r="E11" s="28">
        <f ca="1">'CDS from CapitalIQ'!V6</f>
        <v>-0.13320000000000221</v>
      </c>
      <c r="F11" s="28">
        <f ca="1">'CDS from CapitalIQ'!W6</f>
        <v>3.6049999999999969</v>
      </c>
      <c r="G11" s="36">
        <f ca="1">'CDS from CapitalIQ'!X6</f>
        <v>2.1379999999999981</v>
      </c>
      <c r="H11" s="37" cm="1">
        <f t="array" aca="1" ref="H11" ca="1">(_xll.TR(Q11,"TR.PriceClose")-_xll.TR(Q11,"TR.PriceClose","SDate:"&amp;TEXT(WORKDAY(TODAY(),-5),"yyyy-mm-dd")))/_xll.TR(Q11,"TR.PriceClose","SDate:"&amp;TEXT(WORKDAY(TODAY(),-5),"yyyy-mm-dd"))*100</f>
        <v>-0.54941065740509587</v>
      </c>
      <c r="I11" s="4" cm="1">
        <f t="array" aca="1" ref="I11" ca="1">((_xll.TR(Q11,"TR.PriceClose")-_xll.TR(Q11,"TR.PriceClose","SDate:"&amp;TEXT(WORKDAY(TODAY(),-14),"yyyy-mm-dd")))/_xll.TR(Q11,"TR.PriceClose","SDate:"&amp;TEXT(WORKDAY(TODAY(),-14),"yyyy-mm-dd")))*100</f>
        <v>1.254497387919786</v>
      </c>
      <c r="J11" s="4" cm="1">
        <f t="array" aca="1" ref="J11" ca="1">IFERROR(((_xll.TR(Q11,"TR.PriceClose")-_xll.TR(Q11,"TR.PriceClose","SDate:"&amp;EDATE(TODAY(),-3)))/_xll.TR(Q11,"TR.PriceClose","SDate:"&amp;EDATE(TODAY(),-3)))*100,"-")</f>
        <v>5.7213944311442795</v>
      </c>
      <c r="K11" s="53" cm="1">
        <f t="array" aca="1" ref="K11" ca="1">IFERROR(((_xll.TR(Q11,"TR.PriceClose")-_xll.TR(Q11,"TR.PriceClose","SDate:"&amp;EDATE(TODAY(),-12)))/_xll.TR(Q11,"TR.PriceClose","SDate:"&amp;EDATE(TODAY(),-12)))*100,"-")</f>
        <v>19.633783045593724</v>
      </c>
      <c r="L11" s="52">
        <v>0</v>
      </c>
      <c r="M11" s="17">
        <v>0</v>
      </c>
      <c r="N11" s="17">
        <v>0</v>
      </c>
      <c r="O11" s="59">
        <v>0</v>
      </c>
      <c r="P11" t="s">
        <v>89</v>
      </c>
      <c r="Q11" t="s">
        <v>98</v>
      </c>
      <c r="R11" cm="1">
        <f t="array" ref="R11">_xll.TR(Q11,"TR.PriceClose")</f>
        <v>7533.77</v>
      </c>
      <c r="S11" cm="1">
        <f t="array" aca="1" ref="S11" ca="1">_xll.TR(Q11,"TR.PriceClose","SDate:"&amp;TEXT(WORKDAY(TODAY(),-5),"yyyy-mm-dd"))</f>
        <v>7575.39</v>
      </c>
      <c r="T11" t="s">
        <v>137</v>
      </c>
      <c r="U11" s="9"/>
      <c r="V11" s="9"/>
    </row>
    <row r="12" spans="1:25" ht="14" customHeight="1">
      <c r="A12" s="66" t="s">
        <v>16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U12" s="9"/>
      <c r="V12" s="9"/>
    </row>
    <row r="13" spans="1:25" ht="14" customHeight="1">
      <c r="A13" s="10" t="s">
        <v>17</v>
      </c>
      <c r="B13" s="49"/>
      <c r="C13" s="48">
        <f ca="1">'CDS from CapitalIQ'!C8</f>
        <v>10.9</v>
      </c>
      <c r="D13" s="26">
        <f ca="1">'CDS from CapitalIQ'!T8</f>
        <v>-9.9000000000000199E-2</v>
      </c>
      <c r="E13" s="26">
        <f ca="1">'CDS from CapitalIQ'!V8</f>
        <v>-9.9999999999999645E-2</v>
      </c>
      <c r="F13" s="26">
        <f ca="1">'CDS from CapitalIQ'!W8</f>
        <v>-2.5186999999999991</v>
      </c>
      <c r="G13" s="39">
        <f ca="1">'CDS from CapitalIQ'!X8</f>
        <v>-3.9749999999999996</v>
      </c>
      <c r="H13" s="38" cm="1">
        <f t="array" aca="1" ref="H13" ca="1">(_xll.TR(Q13,"TR.PriceClose")-_xll.TR(Q13,"TR.PriceClose","SDate:"&amp;TEXT(WORKDAY(TODAY(),-5),"yyyy-mm-dd")))/_xll.TR(Q13,"TR.PriceClose","SDate:"&amp;TEXT(WORKDAY(TODAY(),-5),"yyyy-mm-dd"))*100</f>
        <v>-1.8501470341054431</v>
      </c>
      <c r="I13" s="27" cm="1">
        <f t="array" aca="1" ref="I13" ca="1">((_xll.TR(Q13,"TR.PriceClose")-_xll.TR(Q13,"TR.PriceClose","SDate:"&amp;TEXT(WORKDAY(TODAY(),-14),"yyyy-mm-dd")))/_xll.TR(Q13,"TR.PriceClose","SDate:"&amp;TEXT(WORKDAY(TODAY(),-14),"yyyy-mm-dd")))*100</f>
        <v>0.20718699570984145</v>
      </c>
      <c r="J13" s="11" cm="1">
        <f t="array" aca="1" ref="J13" ca="1">(_xll.TR(Q13,"TRDPRC_1")-_xll.TR(Q13,"TR.PriceClose","SDate:"&amp;TEXT(WORKDAY(TODAY(),-65),"yyyy-mm-dd")))/_xll.TR(Q13,"TR.PriceClose","SDate:"&amp;TEXT(WORKDAY(TODAY(),-65),"yyyy-mm-dd"))*100</f>
        <v>6.8350202259261135</v>
      </c>
      <c r="K13" s="55" cm="1">
        <f t="array" aca="1" ref="K13" ca="1">(_xll.TR(Q13,"TRDPRC_1")-_xll.TR(Q13,"TR.PriceClose","SDate:"&amp;TEXT(WORKDAY(TODAY(),-260),"yyyy-mm-dd")))/_xll.TR(Q13,"TR.PriceClose","SDate:"&amp;TEXT(WORKDAY(TODAY(),-260),"yyyy-mm-dd"))*100</f>
        <v>41.900625798411305</v>
      </c>
      <c r="L13" s="54" cm="1">
        <f t="array" aca="1" ref="L13" ca="1">_xll.TR(T13,"TR.MIDPRICE","SDate:"&amp;TEXT(WORKDAY(TODAY(),-5),"yyyy-mm-dd"))</f>
        <v>1.1413500000000001</v>
      </c>
      <c r="M13" s="11" cm="1">
        <f t="array" aca="1" ref="M13" ca="1">_xll.TR(T13,"TR.MIDPRICE","SDate:"&amp;TEXT(WORKDAY(TODAY(),-14),"yyyy-mm-dd"))</f>
        <v>1.1422000000000001</v>
      </c>
      <c r="N13" s="11" cm="1">
        <f t="array" ref="N13">-_xll.TR(T13,"PCTCHG_3M")</f>
        <v>2.79</v>
      </c>
      <c r="O13" s="60" cm="1">
        <f t="array" aca="1" ref="O13" ca="1">_xll.TR(T13,"TR.MIDPRICE","SDate:"&amp;TEXT(EDATE(TODAY(),-12),"yyyy-mm-dd"))</f>
        <v>1.1596</v>
      </c>
      <c r="P13" t="s">
        <v>55</v>
      </c>
      <c r="Q13" t="s">
        <v>99</v>
      </c>
      <c r="R13" cm="1">
        <f t="array" ref="R13">_xll.TR(Q13,"TR.PriceClose")</f>
        <v>6364.91</v>
      </c>
      <c r="S13" cm="1">
        <f t="array" aca="1" ref="S13" ca="1">_xll.TR(Q13,"TR.PriceClose","SDate:"&amp;TEXT(WORKDAY(TODAY(),-5),"yyyy-mm-dd"))</f>
        <v>6484.89</v>
      </c>
      <c r="T13" t="s">
        <v>138</v>
      </c>
      <c r="U13" s="9" cm="1">
        <f t="array" ref="U13">_xll.TR(T13,"BID")</f>
        <v>1.1435</v>
      </c>
      <c r="V13" s="9" cm="1">
        <f t="array" aca="1" ref="V13" ca="1">_xll.TR(T13,"CF_CLOSE","SDate:"&amp;TEXT(WORKDAY(TODAY(),-5),"yyyy-mm-dd"))</f>
        <v>1.1440999999999999</v>
      </c>
    </row>
    <row r="14" spans="1:25" ht="14" customHeight="1">
      <c r="A14" s="12" t="s">
        <v>18</v>
      </c>
      <c r="B14" s="50"/>
      <c r="C14" s="48">
        <f ca="1">'CDS from CapitalIQ'!C9</f>
        <v>17.375</v>
      </c>
      <c r="D14" s="26">
        <f ca="1">'CDS from CapitalIQ'!T9</f>
        <v>-5.239999999999867E-2</v>
      </c>
      <c r="E14" s="26">
        <f ca="1">'CDS from CapitalIQ'!V9</f>
        <v>0</v>
      </c>
      <c r="F14" s="26">
        <f ca="1">'CDS from CapitalIQ'!W9</f>
        <v>-0.67500000000000071</v>
      </c>
      <c r="G14" s="39">
        <f ca="1">'CDS from CapitalIQ'!X9</f>
        <v>-5.875</v>
      </c>
      <c r="H14" s="38" cm="1">
        <f t="array" aca="1" ref="H14" ca="1">(_xll.TR(Q14,"TR.PriceClose")-_xll.TR(Q14,"TR.PriceClose","SDate:"&amp;TEXT(WORKDAY(TODAY(),-5),"yyyy-mm-dd")))/_xll.TR(Q14,"TR.PriceClose","SDate:"&amp;TEXT(WORKDAY(TODAY(),-5),"yyyy-mm-dd"))*100</f>
        <v>0.42473471956068237</v>
      </c>
      <c r="I14" s="27" cm="1">
        <f t="array" aca="1" ref="I14" ca="1">((_xll.TR(Q14,"TR.PriceClose")-_xll.TR(Q14,"TR.PriceClose","SDate:"&amp;TEXT(WORKDAY(TODAY(),-14),"yyyy-mm-dd")))/_xll.TR(Q14,"TR.PriceClose","SDate:"&amp;TEXT(WORKDAY(TODAY(),-14),"yyyy-mm-dd")))*100</f>
        <v>-1.7736498300485306</v>
      </c>
      <c r="J14" s="11" cm="1">
        <f t="array" aca="1" ref="J14" ca="1">(_xll.TR(Q14,"TRDPRC_1")-_xll.TR(Q14,"TR.PriceClose","SDate:"&amp;TEXT(WORKDAY(TODAY(),-65),"yyyy-mm-dd")))/_xll.TR(Q14,"TR.PriceClose","SDate:"&amp;TEXT(WORKDAY(TODAY(),-65),"yyyy-mm-dd"))*100</f>
        <v>1.0428743202742174</v>
      </c>
      <c r="K14" s="55" cm="1">
        <f t="array" aca="1" ref="K14" ca="1">(_xll.TR(Q14,"TRDPRC_1")-_xll.TR(Q14,"TR.PriceClose","SDate:"&amp;TEXT(WORKDAY(TODAY(),-260),"yyyy-mm-dd")))/_xll.TR(Q14,"TR.PriceClose","SDate:"&amp;TEXT(WORKDAY(TODAY(),-260),"yyyy-mm-dd"))*100</f>
        <v>23.893635889525321</v>
      </c>
      <c r="L14" s="54" cm="1">
        <f t="array" aca="1" ref="L14" ca="1">_xll.TR(T14,"TR.MIDPRICE","SDate:"&amp;TEXT(WORKDAY(TODAY(),-5),"yyyy-mm-dd"))</f>
        <v>1.1413500000000001</v>
      </c>
      <c r="M14" s="11" cm="1">
        <f t="array" aca="1" ref="M14" ca="1">_xll.TR(T14,"TR.MIDPRICE","SDate:"&amp;TEXT(WORKDAY(TODAY(),-14),"yyyy-mm-dd"))</f>
        <v>1.1422000000000001</v>
      </c>
      <c r="N14" s="11" cm="1">
        <f t="array" ref="N14">-_xll.TR(T14,"PCTCHG_3M")</f>
        <v>2.79</v>
      </c>
      <c r="O14" s="60" cm="1">
        <f t="array" aca="1" ref="O14" ca="1">_xll.TR(T14,"TR.MIDPRICE","SDate:"&amp;TEXT(EDATE(TODAY(),-12),"yyyy-mm-dd"))</f>
        <v>1.1596</v>
      </c>
      <c r="P14" t="s">
        <v>56</v>
      </c>
      <c r="Q14" t="s">
        <v>100</v>
      </c>
      <c r="R14" cm="1">
        <f t="array" ref="R14">_xll.TR(Q14,"TR.PriceClose")</f>
        <v>5617.84</v>
      </c>
      <c r="S14" cm="1">
        <f t="array" aca="1" ref="S14" ca="1">_xll.TR(Q14,"TR.PriceClose","SDate:"&amp;TEXT(WORKDAY(TODAY(),-5),"yyyy-mm-dd"))</f>
        <v>5594.08</v>
      </c>
      <c r="T14" t="s">
        <v>138</v>
      </c>
      <c r="U14" s="9" cm="1">
        <f t="array" ref="U14">_xll.TR(T14,"BID")</f>
        <v>1.1435</v>
      </c>
      <c r="V14" s="9" cm="1">
        <f t="array" aca="1" ref="V14" ca="1">_xll.TR(T14,"CF_CLOSE","SDate:"&amp;TEXT(WORKDAY(TODAY(),-5),"yyyy-mm-dd"))</f>
        <v>1.1440999999999999</v>
      </c>
    </row>
    <row r="15" spans="1:25" ht="14" customHeight="1">
      <c r="A15" s="10" t="s">
        <v>19</v>
      </c>
      <c r="B15" s="49"/>
      <c r="C15" s="48">
        <f ca="1">'CDS from CapitalIQ'!C10</f>
        <v>11.393800000000001</v>
      </c>
      <c r="D15" s="26">
        <f ca="1">'CDS from CapitalIQ'!T10</f>
        <v>0.14380000000000059</v>
      </c>
      <c r="E15" s="26">
        <f ca="1">'CDS from CapitalIQ'!V10</f>
        <v>1.8800000000000594E-2</v>
      </c>
      <c r="F15" s="26">
        <f ca="1">'CDS from CapitalIQ'!W10</f>
        <v>-1.2728999999999999</v>
      </c>
      <c r="G15" s="39">
        <f ca="1">'CDS from CapitalIQ'!X10</f>
        <v>-4.9516000000000009</v>
      </c>
      <c r="H15" s="38" cm="1">
        <f t="array" aca="1" ref="H15" ca="1">(_xll.TR(Q15,"TR.PriceClose")-_xll.TR(Q15,"TR.PriceClose","SDate:"&amp;TEXT(WORKDAY(TODAY(),-5),"yyyy-mm-dd")))/_xll.TR(Q15,"TR.PriceClose","SDate:"&amp;TEXT(WORKDAY(TODAY(),-5),"yyyy-mm-dd"))*100</f>
        <v>-1.5544570006428915E-2</v>
      </c>
      <c r="I15" s="27" cm="1">
        <f t="array" aca="1" ref="I15" ca="1">((_xll.TR(Q15,"TR.PriceClose")-_xll.TR(Q15,"TR.PriceClose","SDate:"&amp;TEXT(WORKDAY(TODAY(),-14),"yyyy-mm-dd")))/_xll.TR(Q15,"TR.PriceClose","SDate:"&amp;TEXT(WORKDAY(TODAY(),-14),"yyyy-mm-dd")))*100</f>
        <v>0.39720993756504114</v>
      </c>
      <c r="J15" s="11" cm="1">
        <f t="array" aca="1" ref="J15" ca="1">(_xll.TR(Q15,"TRDPRC_1")-_xll.TR(Q15,"TR.PriceClose","SDate:"&amp;TEXT(WORKDAY(TODAY(),-65),"yyyy-mm-dd")))/_xll.TR(Q15,"TR.PriceClose","SDate:"&amp;TEXT(WORKDAY(TODAY(),-65),"yyyy-mm-dd"))*100</f>
        <v>-1.8592424119609534</v>
      </c>
      <c r="K15" s="55" cm="1">
        <f t="array" aca="1" ref="K15" ca="1">(_xll.TR(Q15,"TRDPRC_1")-_xll.TR(Q15,"TR.PriceClose","SDate:"&amp;TEXT(WORKDAY(TODAY(),-260),"yyyy-mm-dd")))/_xll.TR(Q15,"TR.PriceClose","SDate:"&amp;TEXT(WORKDAY(TODAY(),-260),"yyyy-mm-dd"))*100</f>
        <v>27.676736348034648</v>
      </c>
      <c r="L15" s="54" cm="1">
        <f t="array" aca="1" ref="L15" ca="1">_xll.TR(T15,"TR.MIDPRICE","SDate:"&amp;TEXT(WORKDAY(TODAY(),-5),"yyyy-mm-dd"))</f>
        <v>1.1413500000000001</v>
      </c>
      <c r="M15" s="11" cm="1">
        <f t="array" aca="1" ref="M15" ca="1">_xll.TR(T15,"TR.MIDPRICE","SDate:"&amp;TEXT(WORKDAY(TODAY(),-14),"yyyy-mm-dd"))</f>
        <v>1.1422000000000001</v>
      </c>
      <c r="N15" s="11" cm="1">
        <f t="array" ref="N15">-_xll.TR(T15,"PCTCHG_3M")</f>
        <v>2.79</v>
      </c>
      <c r="O15" s="60" cm="1">
        <f t="array" aca="1" ref="O15" ca="1">_xll.TR(T15,"TR.MIDPRICE","SDate:"&amp;TEXT(EDATE(TODAY(),-12),"yyyy-mm-dd"))</f>
        <v>1.1596</v>
      </c>
      <c r="P15" t="s">
        <v>57</v>
      </c>
      <c r="Q15" t="s">
        <v>101</v>
      </c>
      <c r="R15" cm="1">
        <f t="array" ref="R15">_xll.TR(Q15,"TR.PriceClose")</f>
        <v>6174.83</v>
      </c>
      <c r="S15" cm="1">
        <f t="array" aca="1" ref="S15" ca="1">_xll.TR(Q15,"TR.PriceClose","SDate:"&amp;TEXT(WORKDAY(TODAY(),-5),"yyyy-mm-dd"))</f>
        <v>6175.79</v>
      </c>
      <c r="T15" t="s">
        <v>138</v>
      </c>
      <c r="U15" s="9" cm="1">
        <f t="array" ref="U15">_xll.TR(T15,"BID")</f>
        <v>1.1435</v>
      </c>
      <c r="V15" s="9" cm="1">
        <f t="array" aca="1" ref="V15" ca="1">_xll.TR(T15,"CF_CLOSE","SDate:"&amp;TEXT(WORKDAY(TODAY(),-5),"yyyy-mm-dd"))</f>
        <v>1.1440999999999999</v>
      </c>
    </row>
    <row r="16" spans="1:25" ht="14" customHeight="1">
      <c r="A16" t="s">
        <v>20</v>
      </c>
      <c r="B16" s="50"/>
      <c r="C16" s="48">
        <f ca="1">'CDS from CapitalIQ'!C11</f>
        <v>31.25</v>
      </c>
      <c r="D16" s="26">
        <f ca="1">'CDS from CapitalIQ'!T11</f>
        <v>0.54609999999999914</v>
      </c>
      <c r="E16" s="26">
        <f ca="1">'CDS from CapitalIQ'!V11</f>
        <v>2.1871000000000009</v>
      </c>
      <c r="F16" s="26">
        <f ca="1">'CDS from CapitalIQ'!W11</f>
        <v>4.2103999999999999</v>
      </c>
      <c r="G16" s="39">
        <f ca="1">'CDS from CapitalIQ'!X11</f>
        <v>-2.307699999999997</v>
      </c>
      <c r="H16" s="38" cm="1">
        <f t="array" aca="1" ref="H16" ca="1">(_xll.TR(Q16,"TR.PriceClose")-_xll.TR(Q16,"TR.PriceClose","SDate:"&amp;TEXT(WORKDAY(TODAY(),-5),"yyyy-mm-dd")))/_xll.TR(Q16,"TR.PriceClose","SDate:"&amp;TEXT(WORKDAY(TODAY(),-5),"yyyy-mm-dd"))*100</f>
        <v>0.46636455101770646</v>
      </c>
      <c r="I16" s="27" cm="1">
        <f t="array" aca="1" ref="I16" ca="1">((_xll.TR(Q16,"TR.PriceClose")-_xll.TR(Q16,"TR.PriceClose","SDate:"&amp;TEXT(WORKDAY(TODAY(),-14),"yyyy-mm-dd")))/_xll.TR(Q16,"TR.PriceClose","SDate:"&amp;TEXT(WORKDAY(TODAY(),-14),"yyyy-mm-dd")))*100</f>
        <v>0.12584659622604408</v>
      </c>
      <c r="J16" s="11" cm="1">
        <f t="array" aca="1" ref="J16" ca="1">(_xll.TR(Q16,"TRDPRC_1")-_xll.TR(Q16,"TR.PriceClose","SDate:"&amp;TEXT(WORKDAY(TODAY(),-65),"yyyy-mm-dd")))/_xll.TR(Q16,"TR.PriceClose","SDate:"&amp;TEXT(WORKDAY(TODAY(),-65),"yyyy-mm-dd"))*100</f>
        <v>-1.024553923797018</v>
      </c>
      <c r="K16" s="55" cm="1">
        <f t="array" aca="1" ref="K16" ca="1">(_xll.TR(Q16,"TRDPRC_1")-_xll.TR(Q16,"TR.PriceClose","SDate:"&amp;TEXT(WORKDAY(TODAY(),-260),"yyyy-mm-dd")))/_xll.TR(Q16,"TR.PriceClose","SDate:"&amp;TEXT(WORKDAY(TODAY(),-260),"yyyy-mm-dd"))*100</f>
        <v>6.5980029836360146</v>
      </c>
      <c r="L16" s="54" cm="1">
        <f t="array" aca="1" ref="L16" ca="1">_xll.TR(T16,"TR.MIDPRICE","SDate:"&amp;TEXT(WORKDAY(TODAY(),-5),"yyyy-mm-dd"))</f>
        <v>1.1413500000000001</v>
      </c>
      <c r="M16" s="11" cm="1">
        <f t="array" aca="1" ref="M16" ca="1">_xll.TR(T16,"TR.MIDPRICE","SDate:"&amp;TEXT(WORKDAY(TODAY(),-14),"yyyy-mm-dd"))</f>
        <v>1.1422000000000001</v>
      </c>
      <c r="N16" s="11" cm="1">
        <f t="array" ref="N16">-_xll.TR(T16,"PCTCHG_3M")</f>
        <v>2.79</v>
      </c>
      <c r="O16" s="60" cm="1">
        <f t="array" aca="1" ref="O16" ca="1">_xll.TR(T16,"TR.MIDPRICE","SDate:"&amp;TEXT(EDATE(TODAY(),-12),"yyyy-mm-dd"))</f>
        <v>1.1596</v>
      </c>
      <c r="P16" t="s">
        <v>58</v>
      </c>
      <c r="Q16" t="s">
        <v>102</v>
      </c>
      <c r="R16" cm="1">
        <f t="array" ref="R16">_xll.TR(Q16,"TR.PriceClose")</f>
        <v>8377.86</v>
      </c>
      <c r="S16" cm="1">
        <f t="array" aca="1" ref="S16" ca="1">_xll.TR(Q16,"TR.PriceClose","SDate:"&amp;TEXT(WORKDAY(TODAY(),-5),"yyyy-mm-dd"))</f>
        <v>8338.9699999999993</v>
      </c>
      <c r="T16" t="s">
        <v>138</v>
      </c>
      <c r="U16" s="9" cm="1">
        <f t="array" ref="U16">_xll.TR(T16,"BID")</f>
        <v>1.1435</v>
      </c>
      <c r="V16" s="9" cm="1">
        <f t="array" aca="1" ref="V16" ca="1">_xll.TR(T16,"CF_CLOSE","SDate:"&amp;TEXT(WORKDAY(TODAY(),-5),"yyyy-mm-dd"))</f>
        <v>1.1440999999999999</v>
      </c>
    </row>
    <row r="17" spans="1:22" ht="14" customHeight="1">
      <c r="A17" s="10" t="s">
        <v>21</v>
      </c>
      <c r="B17" s="49"/>
      <c r="C17" s="48">
        <f ca="1">'CDS from CapitalIQ'!C12</f>
        <v>7.0042999999999997</v>
      </c>
      <c r="D17" s="26">
        <f ca="1">'CDS from CapitalIQ'!T12</f>
        <v>2.2999999999999687E-3</v>
      </c>
      <c r="E17" s="26">
        <f ca="1">'CDS from CapitalIQ'!V12</f>
        <v>-1.2199999999999989E-2</v>
      </c>
      <c r="F17" s="26">
        <f ca="1">'CDS from CapitalIQ'!W12</f>
        <v>-2.1093000000000002</v>
      </c>
      <c r="G17" s="39">
        <f ca="1">'CDS from CapitalIQ'!X12</f>
        <v>-1.4957000000000003</v>
      </c>
      <c r="H17" s="38" cm="1">
        <f t="array" aca="1" ref="H17" ca="1">(_xll.TR(Q17,"TR.PriceClose")-_xll.TR(Q17,"TR.PriceClose","SDate:"&amp;TEXT(WORKDAY(TODAY(),-5),"yyyy-mm-dd")))/_xll.TR(Q17,"TR.PriceClose","SDate:"&amp;TEXT(WORKDAY(TODAY(),-5),"yyyy-mm-dd"))*100</f>
        <v>-0.94191228419413897</v>
      </c>
      <c r="I17" s="27" cm="1">
        <f t="array" aca="1" ref="I17" ca="1">((_xll.TR(Q17,"TR.PriceClose")-_xll.TR(Q17,"TR.PriceClose","SDate:"&amp;TEXT(WORKDAY(TODAY(),-14),"yyyy-mm-dd")))/_xll.TR(Q17,"TR.PriceClose","SDate:"&amp;TEXT(WORKDAY(TODAY(),-14),"yyyy-mm-dd")))*100</f>
        <v>0.82872827222601042</v>
      </c>
      <c r="J17" s="11" cm="1">
        <f t="array" aca="1" ref="J17" ca="1">(_xll.TR(Q17,"TRDPRC_1")-_xll.TR(Q17,"TR.PriceClose","SDate:"&amp;TEXT(WORKDAY(TODAY(),-65),"yyyy-mm-dd")))/_xll.TR(Q17,"TR.PriceClose","SDate:"&amp;TEXT(WORKDAY(TODAY(),-65),"yyyy-mm-dd"))*100</f>
        <v>0.52116731114262493</v>
      </c>
      <c r="K17" s="55" cm="1">
        <f t="array" aca="1" ref="K17" ca="1">(_xll.TR(Q17,"TRDPRC_1")-_xll.TR(Q17,"TR.PriceClose","SDate:"&amp;TEXT(WORKDAY(TODAY(),-260),"yyyy-mm-dd")))/_xll.TR(Q17,"TR.PriceClose","SDate:"&amp;TEXT(WORKDAY(TODAY(),-260),"yyyy-mm-dd"))*100</f>
        <v>2.2292339367900023</v>
      </c>
      <c r="L17" s="54" cm="1">
        <f t="array" aca="1" ref="L17" ca="1">_xll.TR(T17,"TR.MIDPRICE","SDate:"&amp;TEXT(WORKDAY(TODAY(),-5),"yyyy-mm-dd"))</f>
        <v>1.1413500000000001</v>
      </c>
      <c r="M17" s="11" cm="1">
        <f t="array" aca="1" ref="M17" ca="1">_xll.TR(T17,"TR.MIDPRICE","SDate:"&amp;TEXT(WORKDAY(TODAY(),-14),"yyyy-mm-dd"))</f>
        <v>1.1422000000000001</v>
      </c>
      <c r="N17" s="11" cm="1">
        <f t="array" ref="N17">-_xll.TR(T17,"PCTCHG_3M")</f>
        <v>2.79</v>
      </c>
      <c r="O17" s="60" cm="1">
        <f t="array" aca="1" ref="O17" ca="1">_xll.TR(T17,"TR.MIDPRICE","SDate:"&amp;TEXT(EDATE(TODAY(),-12),"yyyy-mm-dd"))</f>
        <v>1.1596</v>
      </c>
      <c r="P17" t="s">
        <v>59</v>
      </c>
      <c r="Q17" t="s">
        <v>103</v>
      </c>
      <c r="R17" cm="1">
        <f t="array" ref="R17">_xll.TR(Q17,"TR.PriceClose")</f>
        <v>24830.98</v>
      </c>
      <c r="S17" cm="1">
        <f t="array" aca="1" ref="S17" ca="1">_xll.TR(Q17,"TR.PriceClose","SDate:"&amp;TEXT(WORKDAY(TODAY(),-5),"yyyy-mm-dd"))</f>
        <v>25067.09</v>
      </c>
      <c r="T17" t="s">
        <v>138</v>
      </c>
      <c r="U17" s="9" cm="1">
        <f t="array" ref="U17">_xll.TR(T17,"BID")</f>
        <v>1.1435</v>
      </c>
      <c r="V17" s="9" cm="1">
        <f t="array" aca="1" ref="V17" ca="1">_xll.TR(T17,"CF_CLOSE","SDate:"&amp;TEXT(WORKDAY(TODAY(),-5),"yyyy-mm-dd"))</f>
        <v>1.1440999999999999</v>
      </c>
    </row>
    <row r="18" spans="1:22" ht="14" customHeight="1">
      <c r="A18" s="12" t="s">
        <v>20</v>
      </c>
      <c r="B18" s="50"/>
      <c r="C18" s="48">
        <f ca="1">'CDS from CapitalIQ'!C13</f>
        <v>29.333300000000001</v>
      </c>
      <c r="D18" s="26">
        <f ca="1">'CDS from CapitalIQ'!T13</f>
        <v>0.14580000000000126</v>
      </c>
      <c r="E18" s="26">
        <f ca="1">'CDS from CapitalIQ'!V13</f>
        <v>0.3373000000000026</v>
      </c>
      <c r="F18" s="26">
        <f ca="1">'CDS from CapitalIQ'!W13</f>
        <v>-0.94340000000000046</v>
      </c>
      <c r="G18" s="39">
        <f ca="1">'CDS from CapitalIQ'!X13</f>
        <v>-17.004100000000001</v>
      </c>
      <c r="H18" s="38" cm="1">
        <f t="array" aca="1" ref="H18" ca="1">(_xll.TR(Q18,"TR.PriceClose")-_xll.TR(Q18,"TR.PriceClose","SDate:"&amp;TEXT(WORKDAY(TODAY(),-5),"yyyy-mm-dd")))/_xll.TR(Q18,"TR.PriceClose","SDate:"&amp;TEXT(WORKDAY(TODAY(),-5),"yyyy-mm-dd"))*100</f>
        <v>-2.624919426074908</v>
      </c>
      <c r="I18" s="27" cm="1">
        <f t="array" aca="1" ref="I18" ca="1">((_xll.TR(Q18,"TR.PriceClose")-_xll.TR(Q18,"TR.PriceClose","SDate:"&amp;TEXT(WORKDAY(TODAY(),-14),"yyyy-mm-dd")))/_xll.TR(Q18,"TR.PriceClose","SDate:"&amp;TEXT(WORKDAY(TODAY(),-14),"yyyy-mm-dd")))*100</f>
        <v>-0.8206686930091186</v>
      </c>
      <c r="J18" s="11" cm="1">
        <f t="array" aca="1" ref="J18" ca="1">(_xll.TR(Q18,"TRDPRC_1")-_xll.TR(Q18,"TR.PriceClose","SDate:"&amp;TEXT(WORKDAY(TODAY(),-65),"yyyy-mm-dd")))/_xll.TR(Q18,"TR.PriceClose","SDate:"&amp;TEXT(WORKDAY(TODAY(),-65),"yyyy-mm-dd"))*100</f>
        <v>5.9828504612186606</v>
      </c>
      <c r="K18" s="55" cm="1">
        <f t="array" aca="1" ref="K18" ca="1">(_xll.TR(Q18,"TRDPRC_1")-_xll.TR(Q18,"TR.PriceClose","SDate:"&amp;TEXT(WORKDAY(TODAY(),-260),"yyyy-mm-dd")))/_xll.TR(Q18,"TR.PriceClose","SDate:"&amp;TEXT(WORKDAY(TODAY(),-260),"yyyy-mm-dd"))*100</f>
        <v>23.25486522422338</v>
      </c>
      <c r="L18" s="54" cm="1">
        <f t="array" aca="1" ref="L18" ca="1">_xll.TR(T18,"TR.MIDPRICE","SDate:"&amp;TEXT(WORKDAY(TODAY(),-5),"yyyy-mm-dd"))</f>
        <v>1.1413500000000001</v>
      </c>
      <c r="M18" s="11" cm="1">
        <f t="array" aca="1" ref="M18" ca="1">_xll.TR(T18,"TR.MIDPRICE","SDate:"&amp;TEXT(WORKDAY(TODAY(),-14),"yyyy-mm-dd"))</f>
        <v>1.1422000000000001</v>
      </c>
      <c r="N18" s="11" cm="1">
        <f t="array" ref="N18">-_xll.TR(T18,"PCTCHG_3M")</f>
        <v>2.79</v>
      </c>
      <c r="O18" s="60" cm="1">
        <f t="array" aca="1" ref="O18" ca="1">_xll.TR(T18,"TR.MIDPRICE","SDate:"&amp;TEXT(EDATE(TODAY(),-12),"yyyy-mm-dd"))</f>
        <v>1.1596</v>
      </c>
      <c r="P18" t="s">
        <v>60</v>
      </c>
      <c r="Q18" t="s">
        <v>104</v>
      </c>
      <c r="R18" cm="1">
        <f t="array" ref="R18">_xll.TR(Q18,"TR.PriceClose")</f>
        <v>2447.25</v>
      </c>
      <c r="S18" cm="1">
        <f t="array" aca="1" ref="S18" ca="1">_xll.TR(Q18,"TR.PriceClose","SDate:"&amp;TEXT(WORKDAY(TODAY(),-5),"yyyy-mm-dd"))</f>
        <v>2513.2199999999998</v>
      </c>
      <c r="T18" t="s">
        <v>138</v>
      </c>
      <c r="U18" s="9" cm="1">
        <f t="array" ref="U18">_xll.TR(T18,"BID")</f>
        <v>1.1435</v>
      </c>
      <c r="V18" s="9" cm="1">
        <f t="array" aca="1" ref="V18" ca="1">_xll.TR(T18,"CF_CLOSE","SDate:"&amp;TEXT(WORKDAY(TODAY(),-5),"yyyy-mm-dd"))</f>
        <v>1.1440999999999999</v>
      </c>
    </row>
    <row r="19" spans="1:22" ht="14" customHeight="1">
      <c r="A19" s="10" t="s">
        <v>23</v>
      </c>
      <c r="B19" s="49"/>
      <c r="C19" s="48">
        <f ca="1">'CDS from CapitalIQ'!C14</f>
        <v>14.4375</v>
      </c>
      <c r="D19" s="26">
        <f ca="1">'CDS from CapitalIQ'!T14</f>
        <v>0.10420000000000051</v>
      </c>
      <c r="E19" s="26">
        <f ca="1">'CDS from CapitalIQ'!V14</f>
        <v>0.3125</v>
      </c>
      <c r="F19" s="26">
        <f ca="1">'CDS from CapitalIQ'!W14</f>
        <v>-1.2624999999999993</v>
      </c>
      <c r="G19" s="39">
        <f ca="1">'CDS from CapitalIQ'!X14</f>
        <v>-4.2291999999999987</v>
      </c>
      <c r="H19" s="38" cm="1">
        <f t="array" aca="1" ref="H19" ca="1">(_xll.TR(Q19,"TR.PriceClose")-_xll.TR(Q19,"TR.PriceClose","SDate:"&amp;TEXT(WORKDAY(TODAY(),-5),"yyyy-mm-dd")))/_xll.TR(Q19,"TR.PriceClose","SDate:"&amp;TEXT(WORKDAY(TODAY(),-5),"yyyy-mm-dd"))*100</f>
        <v>-2.2950234039810153</v>
      </c>
      <c r="I19" s="27" cm="1">
        <f t="array" aca="1" ref="I19" ca="1">((_xll.TR(Q19,"TR.PriceClose")-_xll.TR(Q19,"TR.PriceClose","SDate:"&amp;TEXT(WORKDAY(TODAY(),-14),"yyyy-mm-dd")))/_xll.TR(Q19,"TR.PriceClose","SDate:"&amp;TEXT(WORKDAY(TODAY(),-14),"yyyy-mm-dd")))*100</f>
        <v>-1.7518574874906081</v>
      </c>
      <c r="J19" s="11" cm="1">
        <f t="array" aca="1" ref="J19" ca="1">(_xll.TR(Q19,"TRDPRC_1")-_xll.TR(Q19,"TR.PriceClose","SDate:"&amp;TEXT(WORKDAY(TODAY(),-65),"yyyy-mm-dd")))/_xll.TR(Q19,"TR.PriceClose","SDate:"&amp;TEXT(WORKDAY(TODAY(),-65),"yyyy-mm-dd"))*100</f>
        <v>4.399307685263067</v>
      </c>
      <c r="K19" s="55" cm="1">
        <f t="array" aca="1" ref="K19" ca="1">(_xll.TR(Q19,"TRDPRC_1")-_xll.TR(Q19,"TR.PriceClose","SDate:"&amp;TEXT(WORKDAY(TODAY(),-260),"yyyy-mm-dd")))/_xll.TR(Q19,"TR.PriceClose","SDate:"&amp;TEXT(WORKDAY(TODAY(),-260),"yyyy-mm-dd"))*100</f>
        <v>21.739200666231117</v>
      </c>
      <c r="L19" s="54" cm="1">
        <f t="array" aca="1" ref="L19" ca="1">_xll.TR(T19,"TR.MIDPRICE","SDate:"&amp;TEXT(WORKDAY(TODAY(),-5),"yyyy-mm-dd"))</f>
        <v>1.1413500000000001</v>
      </c>
      <c r="M19" s="11" cm="1">
        <f t="array" aca="1" ref="M19" ca="1">_xll.TR(T19,"TR.MIDPRICE","SDate:"&amp;TEXT(WORKDAY(TODAY(),-14),"yyyy-mm-dd"))</f>
        <v>1.1422000000000001</v>
      </c>
      <c r="N19" s="11" cm="1">
        <f t="array" ref="N19">-_xll.TR(T19,"PCTCHG_3M")</f>
        <v>2.79</v>
      </c>
      <c r="O19" s="60" cm="1">
        <f t="array" aca="1" ref="O19" ca="1">_xll.TR(T19,"TR.MIDPRICE","SDate:"&amp;TEXT(EDATE(TODAY(),-12),"yyyy-mm-dd"))</f>
        <v>1.1596</v>
      </c>
      <c r="P19" t="s">
        <v>61</v>
      </c>
      <c r="Q19" t="s">
        <v>105</v>
      </c>
      <c r="R19" cm="1">
        <f t="array" ref="R19">_xll.TR(Q19,"TR.PriceClose")</f>
        <v>13565.74</v>
      </c>
      <c r="S19" cm="1">
        <f t="array" aca="1" ref="S19" ca="1">_xll.TR(Q19,"TR.PriceClose","SDate:"&amp;TEXT(WORKDAY(TODAY(),-5),"yyyy-mm-dd"))</f>
        <v>13884.39</v>
      </c>
      <c r="T19" t="s">
        <v>138</v>
      </c>
      <c r="U19" s="9" cm="1">
        <f t="array" ref="U19">_xll.TR(T19,"BID")</f>
        <v>1.1435</v>
      </c>
      <c r="V19" s="9" cm="1">
        <f t="array" aca="1" ref="V19" ca="1">_xll.TR(T19,"CF_CLOSE","SDate:"&amp;TEXT(WORKDAY(TODAY(),-5),"yyyy-mm-dd"))</f>
        <v>1.1440999999999999</v>
      </c>
    </row>
    <row r="20" spans="1:22" ht="14" customHeight="1">
      <c r="A20" s="12" t="s">
        <v>24</v>
      </c>
      <c r="B20" s="50"/>
      <c r="C20" s="48">
        <f ca="1">'CDS from CapitalIQ'!C15</f>
        <v>30</v>
      </c>
      <c r="D20" s="26">
        <f ca="1">'CDS from CapitalIQ'!T15</f>
        <v>0.69500000000000028</v>
      </c>
      <c r="E20" s="26">
        <f ca="1">'CDS from CapitalIQ'!V15</f>
        <v>1.5</v>
      </c>
      <c r="F20" s="26">
        <f ca="1">'CDS from CapitalIQ'!W15</f>
        <v>-0.2541000000000011</v>
      </c>
      <c r="G20" s="39">
        <f ca="1">'CDS from CapitalIQ'!X15</f>
        <v>-13.634999999999998</v>
      </c>
      <c r="H20" s="38" cm="1">
        <f t="array" aca="1" ref="H20" ca="1">(_xll.TR(Q20,"TR.PriceClose")-_xll.TR(Q20,"TR.PriceClose","SDate:"&amp;TEXT(WORKDAY(TODAY(),-5),"yyyy-mm-dd")))/_xll.TR(Q20,"TR.PriceClose","SDate:"&amp;TEXT(WORKDAY(TODAY(),-5),"yyyy-mm-dd"))*100</f>
        <v>-1.3910511179782927</v>
      </c>
      <c r="I20" s="27" cm="1">
        <f t="array" aca="1" ref="I20" ca="1">((_xll.TR(Q20,"TR.PriceClose")-_xll.TR(Q20,"TR.PriceClose","SDate:"&amp;TEXT(WORKDAY(TODAY(),-14),"yyyy-mm-dd")))/_xll.TR(Q20,"TR.PriceClose","SDate:"&amp;TEXT(WORKDAY(TODAY(),-14),"yyyy-mm-dd")))*100</f>
        <v>1.4054633017481351</v>
      </c>
      <c r="J20" s="11" cm="1">
        <f t="array" aca="1" ref="J20" ca="1">(_xll.TR(Q20,"TRDPRC_1")-_xll.TR(Q20,"TR.PriceClose","SDate:"&amp;TEXT(WORKDAY(TODAY(),-65),"yyyy-mm-dd")))/_xll.TR(Q20,"TR.PriceClose","SDate:"&amp;TEXT(WORKDAY(TODAY(),-65),"yyyy-mm-dd"))*100</f>
        <v>6.1651015778166407</v>
      </c>
      <c r="K20" s="55" cm="1">
        <f t="array" aca="1" ref="K20" ca="1">(_xll.TR(Q20,"TRDPRC_1")-_xll.TR(Q20,"TR.PriceClose","SDate:"&amp;TEXT(WORKDAY(TODAY(),-260),"yyyy-mm-dd")))/_xll.TR(Q20,"TR.PriceClose","SDate:"&amp;TEXT(WORKDAY(TODAY(),-260),"yyyy-mm-dd"))*100</f>
        <v>28.701857685517389</v>
      </c>
      <c r="L20" s="54" cm="1">
        <f t="array" aca="1" ref="L20" ca="1">_xll.TR(T20,"TR.MIDPRICE","SDate:"&amp;TEXT(WORKDAY(TODAY(),-5),"yyyy-mm-dd"))</f>
        <v>1.1413500000000001</v>
      </c>
      <c r="M20" s="11" cm="1">
        <f t="array" aca="1" ref="M20" ca="1">_xll.TR(T20,"TR.MIDPRICE","SDate:"&amp;TEXT(WORKDAY(TODAY(),-14),"yyyy-mm-dd"))</f>
        <v>1.1422000000000001</v>
      </c>
      <c r="N20" s="11" cm="1">
        <f t="array" ref="N20">-_xll.TR(T20,"PCTCHG_3M")</f>
        <v>2.79</v>
      </c>
      <c r="O20" s="60" cm="1">
        <f t="array" aca="1" ref="O20" ca="1">_xll.TR(T20,"TR.MIDPRICE","SDate:"&amp;TEXT(EDATE(TODAY(),-12),"yyyy-mm-dd"))</f>
        <v>1.1596</v>
      </c>
      <c r="P20" t="s">
        <v>62</v>
      </c>
      <c r="Q20" t="s">
        <v>106</v>
      </c>
      <c r="R20" cm="1">
        <f t="array" ref="R20">_xll.TR(Q20,"TR.PriceClose")</f>
        <v>51882.28</v>
      </c>
      <c r="S20" cm="1">
        <f t="array" aca="1" ref="S20" ca="1">_xll.TR(Q20,"TR.PriceClose","SDate:"&amp;TEXT(WORKDAY(TODAY(),-5),"yyyy-mm-dd"))</f>
        <v>52614.17</v>
      </c>
      <c r="T20" t="s">
        <v>138</v>
      </c>
      <c r="U20" s="9" cm="1">
        <f t="array" ref="U20">_xll.TR(T20,"BID")</f>
        <v>1.1435</v>
      </c>
      <c r="V20" s="9" cm="1">
        <f t="array" aca="1" ref="V20" ca="1">_xll.TR(T20,"CF_CLOSE","SDate:"&amp;TEXT(WORKDAY(TODAY(),-5),"yyyy-mm-dd"))</f>
        <v>1.1440999999999999</v>
      </c>
    </row>
    <row r="21" spans="1:22" ht="14" customHeight="1">
      <c r="A21" s="32" t="s">
        <v>25</v>
      </c>
      <c r="B21" s="49"/>
      <c r="C21" s="48">
        <f ca="1">'CDS from CapitalIQ'!C16</f>
        <v>10.3414</v>
      </c>
      <c r="D21" s="26">
        <f ca="1">'CDS from CapitalIQ'!T16</f>
        <v>-0.19640000000000057</v>
      </c>
      <c r="E21" s="26">
        <f ca="1">'CDS from CapitalIQ'!V16</f>
        <v>0.32259999999999955</v>
      </c>
      <c r="F21" s="26">
        <f ca="1">'CDS from CapitalIQ'!W16</f>
        <v>0.17210000000000036</v>
      </c>
      <c r="G21" s="39">
        <f ca="1">'CDS from CapitalIQ'!X16</f>
        <v>-6.017199999999999</v>
      </c>
      <c r="H21" s="38" cm="1">
        <f t="array" aca="1" ref="H21" ca="1">(_xll.TR(Q21,"TR.PriceClose")-_xll.TR(Q21,"TR.PriceClose","SDate:"&amp;TEXT(WORKDAY(TODAY(),-5),"yyyy-mm-dd")))/_xll.TR(Q21,"TR.PriceClose","SDate:"&amp;TEXT(WORKDAY(TODAY(),-5),"yyyy-mm-dd"))*100</f>
        <v>-0.46538470341812588</v>
      </c>
      <c r="I21" s="27" cm="1">
        <f t="array" aca="1" ref="I21" ca="1">((_xll.TR(Q21,"TR.PriceClose")-_xll.TR(Q21,"TR.PriceClose","SDate:"&amp;TEXT(WORKDAY(TODAY(),-14),"yyyy-mm-dd")))/_xll.TR(Q21,"TR.PriceClose","SDate:"&amp;TEXT(WORKDAY(TODAY(),-14),"yyyy-mm-dd")))*100</f>
        <v>4.9589317301175706</v>
      </c>
      <c r="J21" s="11" cm="1">
        <f t="array" aca="1" ref="J21" ca="1">(_xll.TR(Q21,"TRDPRC_1")-_xll.TR(Q21,"TR.PriceClose","SDate:"&amp;TEXT(WORKDAY(TODAY(),-65),"yyyy-mm-dd")))/_xll.TR(Q21,"TR.PriceClose","SDate:"&amp;TEXT(WORKDAY(TODAY(),-65),"yyyy-mm-dd"))*100</f>
        <v>0.68706877692138479</v>
      </c>
      <c r="K21" s="55" cm="1">
        <f t="array" aca="1" ref="K21" ca="1">(_xll.TR(Q21,"TRDPRC_1")-_xll.TR(Q21,"TR.PriceClose","SDate:"&amp;TEXT(WORKDAY(TODAY(),-260),"yyyy-mm-dd")))/_xll.TR(Q21,"TR.PriceClose","SDate:"&amp;TEXT(WORKDAY(TODAY(),-260),"yyyy-mm-dd"))*100</f>
        <v>29.194349050470631</v>
      </c>
      <c r="L21" s="54" cm="1">
        <f t="array" aca="1" ref="L21" ca="1">_xll.TR(T21,"TR.MIDPRICE","SDate:"&amp;TEXT(WORKDAY(TODAY(),-5),"yyyy-mm-dd"))</f>
        <v>1.1413500000000001</v>
      </c>
      <c r="M21" s="11" cm="1">
        <f t="array" aca="1" ref="M21" ca="1">_xll.TR(T21,"TR.MIDPRICE","SDate:"&amp;TEXT(WORKDAY(TODAY(),-14),"yyyy-mm-dd"))</f>
        <v>1.1422000000000001</v>
      </c>
      <c r="N21" s="11" cm="1">
        <f t="array" ref="N21">-_xll.TR(T21,"PCTCHG_3M")</f>
        <v>2.79</v>
      </c>
      <c r="O21" s="60" cm="1">
        <f t="array" aca="1" ref="O21" ca="1">_xll.TR(T21,"TR.MIDPRICE","SDate:"&amp;TEXT(EDATE(TODAY(),-12),"yyyy-mm-dd"))</f>
        <v>1.1596</v>
      </c>
      <c r="P21" t="s">
        <v>63</v>
      </c>
      <c r="Q21" t="s">
        <v>272</v>
      </c>
      <c r="T21" t="s">
        <v>138</v>
      </c>
      <c r="U21" s="9" cm="1">
        <f t="array" ref="U21">_xll.TR(T21,"BID")</f>
        <v>1.1435</v>
      </c>
      <c r="V21" s="9" cm="1">
        <f t="array" aca="1" ref="V21" ca="1">_xll.TR(T21,"CF_CLOSE","SDate:"&amp;TEXT(WORKDAY(TODAY(),-5),"yyyy-mm-dd"))</f>
        <v>1.1440999999999999</v>
      </c>
    </row>
    <row r="22" spans="1:22" ht="14" customHeight="1">
      <c r="A22" s="12" t="s">
        <v>26</v>
      </c>
      <c r="B22" s="50"/>
      <c r="C22" s="48">
        <f ca="1">'CDS from CapitalIQ'!C17</f>
        <v>7.8967000000000001</v>
      </c>
      <c r="D22" s="26">
        <f ca="1">'CDS from CapitalIQ'!T17</f>
        <v>0.22480000000000011</v>
      </c>
      <c r="E22" s="26">
        <f ca="1">'CDS from CapitalIQ'!V17</f>
        <v>8.4200000000000053E-2</v>
      </c>
      <c r="F22" s="26">
        <f ca="1">'CDS from CapitalIQ'!W17</f>
        <v>-1.0257999999999994</v>
      </c>
      <c r="G22" s="39">
        <f ca="1">'CDS from CapitalIQ'!X17</f>
        <v>-2.7282999999999999</v>
      </c>
      <c r="H22" s="38" cm="1">
        <f t="array" aca="1" ref="H22" ca="1">(_xll.TR(Q22,"TR.PriceClose")-_xll.TR(Q22,"TR.PriceClose","SDate:"&amp;TEXT(WORKDAY(TODAY(),-5),"yyyy-mm-dd")))/_xll.TR(Q22,"TR.PriceClose","SDate:"&amp;TEXT(WORKDAY(TODAY(),-5),"yyyy-mm-dd"))*100</f>
        <v>1.6739990592402065</v>
      </c>
      <c r="I22" s="27" cm="1">
        <f t="array" aca="1" ref="I22" ca="1">((_xll.TR(Q22,"TR.PriceClose")-_xll.TR(Q22,"TR.PriceClose","SDate:"&amp;TEXT(WORKDAY(TODAY(),-14),"yyyy-mm-dd")))/_xll.TR(Q22,"TR.PriceClose","SDate:"&amp;TEXT(WORKDAY(TODAY(),-14),"yyyy-mm-dd")))*100</f>
        <v>3.4768243002234209</v>
      </c>
      <c r="J22" s="11" cm="1">
        <f t="array" aca="1" ref="J22" ca="1">(_xll.TR(Q22,"TRDPRC_1")-_xll.TR(Q22,"TR.PriceClose","SDate:"&amp;TEXT(WORKDAY(TODAY(),-65),"yyyy-mm-dd")))/_xll.TR(Q22,"TR.PriceClose","SDate:"&amp;TEXT(WORKDAY(TODAY(),-65),"yyyy-mm-dd"))*100</f>
        <v>6.6710300093779384</v>
      </c>
      <c r="K22" s="55" cm="1">
        <f t="array" aca="1" ref="K22" ca="1">(_xll.TR(Q22,"TRDPRC_1")-_xll.TR(Q22,"TR.PriceClose","SDate:"&amp;TEXT(WORKDAY(TODAY(),-260),"yyyy-mm-dd")))/_xll.TR(Q22,"TR.PriceClose","SDate:"&amp;TEXT(WORKDAY(TODAY(),-260),"yyyy-mm-dd"))*100</f>
        <v>19.753248889620004</v>
      </c>
      <c r="L22" s="54" cm="1">
        <f t="array" aca="1" ref="L22" ca="1">_xll.TR(T22,"TR.MIDPRICE","SDate:"&amp;TEXT(WORKDAY(TODAY(),-5),"yyyy-mm-dd"))</f>
        <v>1.1413500000000001</v>
      </c>
      <c r="M22" s="11" cm="1">
        <f t="array" aca="1" ref="M22" ca="1">_xll.TR(T22,"TR.MIDPRICE","SDate:"&amp;TEXT(WORKDAY(TODAY(),-14),"yyyy-mm-dd"))</f>
        <v>1.1422000000000001</v>
      </c>
      <c r="N22" s="11" cm="1">
        <f t="array" ref="N22">-_xll.TR(T22,"PCTCHG_3M")</f>
        <v>2.79</v>
      </c>
      <c r="O22" s="60" cm="1">
        <f t="array" aca="1" ref="O22" ca="1">_xll.TR(T22,"TR.MIDPRICE","SDate:"&amp;TEXT(EDATE(TODAY(),-12),"yyyy-mm-dd"))</f>
        <v>1.1596</v>
      </c>
      <c r="P22" t="s">
        <v>64</v>
      </c>
      <c r="Q22" t="s">
        <v>107</v>
      </c>
      <c r="R22" cm="1">
        <f t="array" ref="R22">_xll.TR(Q22,"TR.PriceClose")</f>
        <v>1102.3800000000001</v>
      </c>
      <c r="S22" cm="1">
        <f t="array" aca="1" ref="S22" ca="1">_xll.TR(Q22,"TR.PriceClose","SDate:"&amp;TEXT(WORKDAY(TODAY(),-5),"yyyy-mm-dd"))</f>
        <v>1084.23</v>
      </c>
      <c r="T22" t="s">
        <v>138</v>
      </c>
      <c r="U22" s="9" cm="1">
        <f t="array" ref="U22">_xll.TR(T22,"BID")</f>
        <v>1.1435</v>
      </c>
      <c r="V22" s="9" cm="1">
        <f t="array" aca="1" ref="V22" ca="1">_xll.TR(T22,"CF_CLOSE","SDate:"&amp;TEXT(WORKDAY(TODAY(),-5),"yyyy-mm-dd"))</f>
        <v>1.1440999999999999</v>
      </c>
    </row>
    <row r="23" spans="1:22" ht="14" customHeight="1">
      <c r="A23" s="10" t="s">
        <v>27</v>
      </c>
      <c r="B23" s="49"/>
      <c r="C23" s="48">
        <f ca="1">'CDS from CapitalIQ'!C18</f>
        <v>14.375</v>
      </c>
      <c r="D23" s="26">
        <f ca="1">'CDS from CapitalIQ'!T18</f>
        <v>0.25</v>
      </c>
      <c r="E23" s="26">
        <f ca="1">'CDS from CapitalIQ'!V18</f>
        <v>4.1700000000000514E-2</v>
      </c>
      <c r="F23" s="26">
        <f ca="1">'CDS from CapitalIQ'!W18</f>
        <v>-2.0249999999999986</v>
      </c>
      <c r="G23" s="39">
        <f ca="1">'CDS from CapitalIQ'!X18</f>
        <v>-8.9583000000000013</v>
      </c>
      <c r="H23" s="38" cm="1">
        <f t="array" aca="1" ref="H23" ca="1">(_xll.TR(Q23,"TR.PriceClose")-_xll.TR(Q23,"TR.PriceClose","SDate:"&amp;TEXT(WORKDAY(TODAY(),-5),"yyyy-mm-dd")))/_xll.TR(Q23,"TR.PriceClose","SDate:"&amp;TEXT(WORKDAY(TODAY(),-5),"yyyy-mm-dd"))*100</f>
        <v>-0.48952216136442422</v>
      </c>
      <c r="I23" s="27" cm="1">
        <f t="array" aca="1" ref="I23" ca="1">((_xll.TR(Q23,"TR.PriceClose")-_xll.TR(Q23,"TR.PriceClose","SDate:"&amp;TEXT(WORKDAY(TODAY(),-14),"yyyy-mm-dd")))/_xll.TR(Q23,"TR.PriceClose","SDate:"&amp;TEXT(WORKDAY(TODAY(),-14),"yyyy-mm-dd")))*100</f>
        <v>-1.0615219843026147</v>
      </c>
      <c r="J23" s="11" cm="1">
        <f t="array" aca="1" ref="J23" ca="1">(_xll.TR(Q23,"TRDPRC_1")-_xll.TR(Q23,"TR.PriceClose","SDate:"&amp;TEXT(WORKDAY(TODAY(),-65),"yyyy-mm-dd")))/_xll.TR(Q23,"TR.PriceClose","SDate:"&amp;TEXT(WORKDAY(TODAY(),-65),"yyyy-mm-dd"))*100</f>
        <v>-1.3393168199554115</v>
      </c>
      <c r="K23" s="55" cm="1">
        <f t="array" aca="1" ref="K23" ca="1">(_xll.TR(Q23,"TRDPRC_1")-_xll.TR(Q23,"TR.PriceClose","SDate:"&amp;TEXT(WORKDAY(TODAY(),-260),"yyyy-mm-dd")))/_xll.TR(Q23,"TR.PriceClose","SDate:"&amp;TEXT(WORKDAY(TODAY(),-260),"yyyy-mm-dd"))*100</f>
        <v>18.088434780229161</v>
      </c>
      <c r="L23" s="54" cm="1">
        <f t="array" aca="1" ref="L23" ca="1">_xll.TR(T23,"TR.MIDPRICE","SDate:"&amp;TEXT(WORKDAY(TODAY(),-5),"yyyy-mm-dd"))</f>
        <v>1.1413500000000001</v>
      </c>
      <c r="M23" s="11" cm="1">
        <f t="array" aca="1" ref="M23" ca="1">_xll.TR(T23,"TR.MIDPRICE","SDate:"&amp;TEXT(WORKDAY(TODAY(),-14),"yyyy-mm-dd"))</f>
        <v>1.1422000000000001</v>
      </c>
      <c r="N23" s="11" cm="1">
        <f t="array" ref="N23">-_xll.TR(T23,"PCTCHG_3M")</f>
        <v>2.79</v>
      </c>
      <c r="O23" s="60" cm="1">
        <f t="array" aca="1" ref="O23" ca="1">_xll.TR(T23,"TR.MIDPRICE","SDate:"&amp;TEXT(EDATE(TODAY(),-12),"yyyy-mm-dd"))</f>
        <v>1.1596</v>
      </c>
      <c r="P23" t="s">
        <v>65</v>
      </c>
      <c r="Q23" t="s">
        <v>108</v>
      </c>
      <c r="R23" cm="1">
        <f t="array" ref="R23">_xll.TR(Q23,"TR.PriceClose")</f>
        <v>9062.26</v>
      </c>
      <c r="S23" cm="1">
        <f t="array" aca="1" ref="S23" ca="1">_xll.TR(Q23,"TR.PriceClose","SDate:"&amp;TEXT(WORKDAY(TODAY(),-5),"yyyy-mm-dd"))</f>
        <v>9106.84</v>
      </c>
      <c r="T23" t="s">
        <v>138</v>
      </c>
      <c r="U23" s="9" cm="1">
        <f t="array" ref="U23">_xll.TR(T23,"BID")</f>
        <v>1.1435</v>
      </c>
      <c r="V23" s="9" cm="1">
        <f t="array" aca="1" ref="V23" ca="1">_xll.TR(T23,"CF_CLOSE","SDate:"&amp;TEXT(WORKDAY(TODAY(),-5),"yyyy-mm-dd"))</f>
        <v>1.1440999999999999</v>
      </c>
    </row>
    <row r="24" spans="1:22" ht="14" customHeight="1">
      <c r="A24" s="12" t="s">
        <v>28</v>
      </c>
      <c r="B24" s="50"/>
      <c r="C24" s="48">
        <f ca="1">'CDS from CapitalIQ'!C19</f>
        <v>36.054499999999997</v>
      </c>
      <c r="D24" s="26">
        <f ca="1">'CDS from CapitalIQ'!T19</f>
        <v>-0.41370000000000573</v>
      </c>
      <c r="E24" s="26">
        <f ca="1">'CDS from CapitalIQ'!V19</f>
        <v>-1.4971999999999994</v>
      </c>
      <c r="F24" s="26">
        <f ca="1">'CDS from CapitalIQ'!W19</f>
        <v>-1.8366000000000042</v>
      </c>
      <c r="G24" s="39">
        <f ca="1">'CDS from CapitalIQ'!X19</f>
        <v>3.6618999999999957</v>
      </c>
      <c r="H24" s="38" cm="1">
        <f t="array" aca="1" ref="H24" ca="1">(_xll.TR(Q24,"TR.PriceClose")-_xll.TR(Q24,"TR.PriceClose","SDate:"&amp;TEXT(WORKDAY(TODAY(),-5),"yyyy-mm-dd")))/_xll.TR(Q24,"TR.PriceClose","SDate:"&amp;TEXT(WORKDAY(TODAY(),-5),"yyyy-mm-dd"))*100</f>
        <v>1.6210629732885111</v>
      </c>
      <c r="I24" s="27" cm="1">
        <f t="array" aca="1" ref="I24" ca="1">((_xll.TR(Q24,"TR.PriceClose")-_xll.TR(Q24,"TR.PriceClose","SDate:"&amp;TEXT(WORKDAY(TODAY(),-14),"yyyy-mm-dd")))/_xll.TR(Q24,"TR.PriceClose","SDate:"&amp;TEXT(WORKDAY(TODAY(),-14),"yyyy-mm-dd")))*100</f>
        <v>6.2414961449190409</v>
      </c>
      <c r="J24" s="11" cm="1">
        <f t="array" aca="1" ref="J24" ca="1">(_xll.TR(Q24,"TRDPRC_1")-_xll.TR(Q24,"TR.PriceClose","SDate:"&amp;TEXT(WORKDAY(TODAY(),-65),"yyyy-mm-dd")))/_xll.TR(Q24,"TR.PriceClose","SDate:"&amp;TEXT(WORKDAY(TODAY(),-65),"yyyy-mm-dd"))*100</f>
        <v>7.1806505466099457</v>
      </c>
      <c r="K24" s="55" cm="1">
        <f t="array" aca="1" ref="K24" ca="1">(_xll.TR(Q24,"TRDPRC_1")-_xll.TR(Q24,"TR.PriceClose","SDate:"&amp;TEXT(WORKDAY(TODAY(),-260),"yyyy-mm-dd")))/_xll.TR(Q24,"TR.PriceClose","SDate:"&amp;TEXT(WORKDAY(TODAY(),-260),"yyyy-mm-dd"))*100</f>
        <v>35.834424628142195</v>
      </c>
      <c r="L24" s="54" cm="1">
        <f t="array" aca="1" ref="L24" ca="1">_xll.TR(T24,"TR.MIDPRICE","SDate:"&amp;TEXT(WORKDAY(TODAY(),-5),"yyyy-mm-dd"))</f>
        <v>1.1413500000000001</v>
      </c>
      <c r="M24" s="11" cm="1">
        <f t="array" aca="1" ref="M24" ca="1">_xll.TR(T24,"TR.MIDPRICE","SDate:"&amp;TEXT(WORKDAY(TODAY(),-14),"yyyy-mm-dd"))</f>
        <v>1.1422000000000001</v>
      </c>
      <c r="N24" s="11" cm="1">
        <f t="array" ref="N24">-_xll.TR(T24,"PCTCHG_3M")</f>
        <v>2.79</v>
      </c>
      <c r="O24" s="60" cm="1">
        <f t="array" aca="1" ref="O24" ca="1">_xll.TR(T24,"TR.MIDPRICE","SDate:"&amp;TEXT(EDATE(TODAY(),-12),"yyyy-mm-dd"))</f>
        <v>1.1596</v>
      </c>
      <c r="P24" t="s">
        <v>66</v>
      </c>
      <c r="Q24" t="s">
        <v>109</v>
      </c>
      <c r="R24" cm="1">
        <f t="array" ref="R24">_xll.TR(Q24,"TR.PriceClose")</f>
        <v>3185.8</v>
      </c>
      <c r="S24" cm="1">
        <f t="array" aca="1" ref="S24" ca="1">_xll.TR(Q24,"TR.PriceClose","SDate:"&amp;TEXT(WORKDAY(TODAY(),-5),"yyyy-mm-dd"))</f>
        <v>3134.98</v>
      </c>
      <c r="T24" t="s">
        <v>138</v>
      </c>
      <c r="U24" s="9" cm="1">
        <f t="array" ref="U24">_xll.TR(T24,"BID")</f>
        <v>1.1435</v>
      </c>
      <c r="V24" s="9" cm="1">
        <f t="array" aca="1" ref="V24" ca="1">_xll.TR(T24,"CF_CLOSE","SDate:"&amp;TEXT(WORKDAY(TODAY(),-5),"yyyy-mm-dd"))</f>
        <v>1.1440999999999999</v>
      </c>
    </row>
    <row r="25" spans="1:22" ht="14" customHeight="1">
      <c r="A25" s="10" t="s">
        <v>29</v>
      </c>
      <c r="B25" s="49"/>
      <c r="C25" s="48">
        <f ca="1">'CDS from CapitalIQ'!C20</f>
        <v>16.5</v>
      </c>
      <c r="D25" s="26">
        <f ca="1">'CDS from CapitalIQ'!T20</f>
        <v>0.33330000000000126</v>
      </c>
      <c r="E25" s="26">
        <f ca="1">'CDS from CapitalIQ'!V20</f>
        <v>0.6875</v>
      </c>
      <c r="F25" s="26">
        <f ca="1">'CDS from CapitalIQ'!W20</f>
        <v>-0.33330000000000126</v>
      </c>
      <c r="G25" s="39">
        <f ca="1">'CDS from CapitalIQ'!X20</f>
        <v>-11.939900000000002</v>
      </c>
      <c r="H25" s="38" cm="1">
        <f t="array" aca="1" ref="H25" ca="1">(_xll.TR(Q25,"TR.PriceClose")-_xll.TR(Q25,"TR.PriceClose","SDate:"&amp;TEXT(WORKDAY(TODAY(),-5),"yyyy-mm-dd")))/_xll.TR(Q25,"TR.PriceClose","SDate:"&amp;TEXT(WORKDAY(TODAY(),-5),"yyyy-mm-dd"))*100</f>
        <v>-0.86563114208628078</v>
      </c>
      <c r="I25" s="27" cm="1">
        <f t="array" aca="1" ref="I25" ca="1">((_xll.TR(Q25,"TR.PriceClose")-_xll.TR(Q25,"TR.PriceClose","SDate:"&amp;TEXT(WORKDAY(TODAY(),-14),"yyyy-mm-dd")))/_xll.TR(Q25,"TR.PriceClose","SDate:"&amp;TEXT(WORKDAY(TODAY(),-14),"yyyy-mm-dd")))*100</f>
        <v>-0.87943716021746077</v>
      </c>
      <c r="J25" s="11" cm="1">
        <f t="array" aca="1" ref="J25" ca="1">(_xll.TR(Q25,"TRDPRC_1")-_xll.TR(Q25,"TR.PriceClose","SDate:"&amp;TEXT(WORKDAY(TODAY(),-65),"yyyy-mm-dd")))/_xll.TR(Q25,"TR.PriceClose","SDate:"&amp;TEXT(WORKDAY(TODAY(),-65),"yyyy-mm-dd"))*100</f>
        <v>3.9622386323676673</v>
      </c>
      <c r="K25" s="55" cm="1">
        <f t="array" aca="1" ref="K25" ca="1">(_xll.TR(Q25,"TRDPRC_1")-_xll.TR(Q25,"TR.PriceClose","SDate:"&amp;TEXT(WORKDAY(TODAY(),-260),"yyyy-mm-dd")))/_xll.TR(Q25,"TR.PriceClose","SDate:"&amp;TEXT(WORKDAY(TODAY(),-260),"yyyy-mm-dd"))*100</f>
        <v>37.371506183429851</v>
      </c>
      <c r="L25" s="54" cm="1">
        <f t="array" aca="1" ref="L25" ca="1">_xll.TR(T25,"TR.MIDPRICE","SDate:"&amp;TEXT(WORKDAY(TODAY(),-5),"yyyy-mm-dd"))</f>
        <v>1.1413500000000001</v>
      </c>
      <c r="M25" s="11" cm="1">
        <f t="array" aca="1" ref="M25" ca="1">_xll.TR(T25,"TR.MIDPRICE","SDate:"&amp;TEXT(WORKDAY(TODAY(),-14),"yyyy-mm-dd"))</f>
        <v>1.1422000000000001</v>
      </c>
      <c r="N25" s="11" cm="1">
        <f t="array" ref="N25">-_xll.TR(T25,"PCTCHG_3M")</f>
        <v>2.79</v>
      </c>
      <c r="O25" s="60" cm="1">
        <f t="array" aca="1" ref="O25" ca="1">_xll.TR(T25,"TR.MIDPRICE","SDate:"&amp;TEXT(EDATE(TODAY(),-12),"yyyy-mm-dd"))</f>
        <v>1.1596</v>
      </c>
      <c r="P25" t="s">
        <v>67</v>
      </c>
      <c r="Q25" t="s">
        <v>110</v>
      </c>
      <c r="R25" cm="1">
        <f t="array" ref="R25">_xll.TR(Q25,"TR.PriceClose")</f>
        <v>19216.900000000001</v>
      </c>
      <c r="S25" cm="1">
        <f t="array" aca="1" ref="S25" ca="1">_xll.TR(Q25,"TR.PriceClose","SDate:"&amp;TEXT(WORKDAY(TODAY(),-5),"yyyy-mm-dd"))</f>
        <v>19384.7</v>
      </c>
      <c r="T25" t="s">
        <v>138</v>
      </c>
      <c r="U25" s="9" cm="1">
        <f t="array" ref="U25">_xll.TR(T25,"BID")</f>
        <v>1.1435</v>
      </c>
      <c r="V25" s="9" cm="1">
        <f t="array" aca="1" ref="V25" ca="1">_xll.TR(T25,"CF_CLOSE","SDate:"&amp;TEXT(WORKDAY(TODAY(),-5),"yyyy-mm-dd"))</f>
        <v>1.1440999999999999</v>
      </c>
    </row>
    <row r="26" spans="1:22" ht="14" customHeight="1">
      <c r="A26" s="70" t="s">
        <v>30</v>
      </c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U26" s="9"/>
      <c r="V26" s="9"/>
    </row>
    <row r="27" spans="1:22" ht="14" customHeight="1">
      <c r="A27" s="12" t="s">
        <v>31</v>
      </c>
      <c r="B27" s="50"/>
      <c r="C27" s="51">
        <f ca="1">'CDS from CapitalIQ'!C22</f>
        <v>18.399999999999999</v>
      </c>
      <c r="D27" s="25">
        <f ca="1">'CDS from CapitalIQ'!T22</f>
        <v>0.56669999999999732</v>
      </c>
      <c r="E27" s="25">
        <f ca="1">'CDS from CapitalIQ'!V22</f>
        <v>0.52499999999999858</v>
      </c>
      <c r="F27" s="25">
        <f ca="1">'CDS from CapitalIQ'!W22</f>
        <v>-0.60000000000000142</v>
      </c>
      <c r="G27" s="41">
        <f ca="1">'CDS from CapitalIQ'!X22</f>
        <v>1.7332999999999998</v>
      </c>
      <c r="H27" s="40" cm="1">
        <f t="array" aca="1" ref="H27" ca="1">(_xll.TR(Q27,"TR.PriceClose")-_xll.TR(Q27,"TR.PriceClose","SDate:"&amp;TEXT(WORKDAY(TODAY(),-5),"yyyy-mm-dd")))/_xll.TR(Q27,"TR.PriceClose","SDate:"&amp;TEXT(WORKDAY(TODAY(),-5),"yyyy-mm-dd"))*100</f>
        <v>0.98196772690856327</v>
      </c>
      <c r="I27" s="13" cm="1">
        <f t="array" aca="1" ref="I27" ca="1">((_xll.TR(Q27,"TR.PriceClose")-_xll.TR(Q27,"TR.PriceClose","SDate:"&amp;TEXT(WORKDAY(TODAY(),-14),"yyyy-mm-dd")))/_xll.TR(Q27,"TR.PriceClose","SDate:"&amp;TEXT(WORKDAY(TODAY(),-14),"yyyy-mm-dd")))*100</f>
        <v>1.1078554246286463</v>
      </c>
      <c r="J27" s="13" cm="1">
        <f t="array" aca="1" ref="J27" ca="1">(_xll.TR(Q27,"TRDPRC_1")-_xll.TR(Q27,"TR.PriceClose","SDate:"&amp;TEXT(WORKDAY(TODAY(),-65),"yyyy-mm-dd")))/_xll.TR(Q27,"TR.PriceClose","SDate:"&amp;TEXT(WORKDAY(TODAY(),-65),"yyyy-mm-dd"))*100</f>
        <v>-0.63050555746682635</v>
      </c>
      <c r="K27" s="56" cm="1">
        <f t="array" aca="1" ref="K27" ca="1">(_xll.TR(Q27,"TRDPRC_1")-_xll.TR(Q27,"TR.PriceClose","SDate:"&amp;TEXT(WORKDAY(TODAY(),-260),"yyyy-mm-dd")))/_xll.TR(Q27,"TR.PriceClose","SDate:"&amp;TEXT(WORKDAY(TODAY(),-260),"yyyy-mm-dd"))*100</f>
        <v>17.885103846478913</v>
      </c>
      <c r="L27" s="40" cm="1">
        <f t="array" aca="1" ref="L27" ca="1">_xll.TR(T27,"TR.MIDPRICE","SDate:"&amp;TEXT(WORKDAY(TODAY(),-5),"yyyy-mm-dd"))</f>
        <v>1.3407500000000001</v>
      </c>
      <c r="M27" s="13" cm="1">
        <f t="array" aca="1" ref="M27" ca="1">_xll.TR(T27,"TR.MIDPRICE","SDate:"&amp;TEXT(WORKDAY(TODAY(),-14),"yyyy-mm-dd"))</f>
        <v>1.32575</v>
      </c>
      <c r="N27" s="13" cm="1">
        <f t="array" ref="N27">-_xll.TR(T27,"PCTCHG_3M")</f>
        <v>0.47</v>
      </c>
      <c r="O27" s="56" cm="1">
        <f t="array" ref="O27">-_xll.TR(T27,"PCTCHG_YTD")</f>
        <v>0.16</v>
      </c>
      <c r="P27" t="s">
        <v>68</v>
      </c>
      <c r="Q27" t="s">
        <v>111</v>
      </c>
      <c r="R27" cm="1">
        <f t="array" ref="R27">_xll.TR(Q27,"TR.PriceClose")</f>
        <v>10600.37</v>
      </c>
      <c r="S27" cm="1">
        <f t="array" aca="1" ref="S27" ca="1">_xll.TR(Q27,"TR.PriceClose","SDate:"&amp;TEXT(WORKDAY(TODAY(),-5),"yyyy-mm-dd"))</f>
        <v>10497.29</v>
      </c>
      <c r="T27" t="s">
        <v>139</v>
      </c>
      <c r="U27" s="9" cm="1">
        <f t="array" ref="U27">_xll.TR(T27,"BID")</f>
        <v>1.3452</v>
      </c>
      <c r="V27" s="9" cm="1">
        <f t="array" aca="1" ref="V27" ca="1">_xll.TR(T27,"CF_CLOSE","SDate:"&amp;TEXT(WORKDAY(TODAY(),-5),"yyyy-mm-dd"))</f>
        <v>1.3475999999999999</v>
      </c>
    </row>
    <row r="28" spans="1:22" ht="14" customHeight="1">
      <c r="A28" s="10" t="s">
        <v>32</v>
      </c>
      <c r="B28" s="49"/>
      <c r="C28" s="51">
        <f ca="1">'CDS from CapitalIQ'!C23</f>
        <v>29.828800000000001</v>
      </c>
      <c r="D28" s="25">
        <f ca="1">'CDS from CapitalIQ'!T23</f>
        <v>1.7996000000000016</v>
      </c>
      <c r="E28" s="25">
        <f ca="1">'CDS from CapitalIQ'!V23</f>
        <v>3.4059000000000026</v>
      </c>
      <c r="F28" s="25">
        <f ca="1">'CDS from CapitalIQ'!W23</f>
        <v>0.95110000000000028</v>
      </c>
      <c r="G28" s="41">
        <f ca="1">'CDS from CapitalIQ'!X23</f>
        <v>4.162700000000001</v>
      </c>
      <c r="H28" s="40" cm="1">
        <f t="array" aca="1" ref="H28" ca="1">(_xll.TR(Q28,"TR.PriceClose")-_xll.TR(Q28,"TR.PriceClose","SDate:"&amp;TEXT(WORKDAY(TODAY(),-5),"yyyy-mm-dd")))/_xll.TR(Q28,"TR.PriceClose","SDate:"&amp;TEXT(WORKDAY(TODAY(),-5),"yyyy-mm-dd"))*100</f>
        <v>-1.6496940359850352</v>
      </c>
      <c r="I28" s="13" cm="1">
        <f t="array" aca="1" ref="I28" ca="1">((_xll.TR(Q28,"TR.PriceClose")-_xll.TR(Q28,"TR.PriceClose","SDate:"&amp;TEXT(WORKDAY(TODAY(),-14),"yyyy-mm-dd")))/_xll.TR(Q28,"TR.PriceClose","SDate:"&amp;TEXT(WORKDAY(TODAY(),-14),"yyyy-mm-dd")))*100</f>
        <v>0.46453589171453852</v>
      </c>
      <c r="J28" s="13" cm="1">
        <f t="array" aca="1" ref="J28" ca="1">(_xll.TR(Q28,"TRDPRC_1")-_xll.TR(Q28,"TR.PriceClose","SDate:"&amp;TEXT(WORKDAY(TODAY(),-65),"yyyy-mm-dd")))/_xll.TR(Q28,"TR.PriceClose","SDate:"&amp;TEXT(WORKDAY(TODAY(),-65),"yyyy-mm-dd"))*100</f>
        <v>-4.266928433842053</v>
      </c>
      <c r="K28" s="56" cm="1">
        <f t="array" aca="1" ref="K28" ca="1">(_xll.TR(Q28,"TRDPRC_1")-_xll.TR(Q28,"TR.PriceClose","SDate:"&amp;TEXT(WORKDAY(TODAY(),-260),"yyyy-mm-dd")))/_xll.TR(Q28,"TR.PriceClose","SDate:"&amp;TEXT(WORKDAY(TODAY(),-260),"yyyy-mm-dd"))*100</f>
        <v>18.081300515838375</v>
      </c>
      <c r="L28" s="40" cm="1">
        <f t="array" aca="1" ref="L28" ca="1">_xll.TR(T28,"TR.MIDPRICE","SDate:"&amp;TEXT(WORKDAY(TODAY(),-5),"yyyy-mm-dd"))</f>
        <v>21.251000000000001</v>
      </c>
      <c r="M28" s="13" cm="1">
        <f t="array" aca="1" ref="M28" ca="1">_xll.TR(T28,"TR.MIDPRICE","SDate:"&amp;TEXT(WORKDAY(TODAY(),-14),"yyyy-mm-dd"))</f>
        <v>21.230499999999999</v>
      </c>
      <c r="N28" s="13" cm="1">
        <f t="array" ref="N28">-_xll.TR(T28,"PCTCHG_3M")</f>
        <v>-2.65</v>
      </c>
      <c r="O28" s="56" cm="1">
        <f t="array" ref="O28">-_xll.TR(T28,"PCTCHG_YTD")</f>
        <v>-3.05</v>
      </c>
      <c r="P28" t="s">
        <v>69</v>
      </c>
      <c r="Q28" t="s">
        <v>112</v>
      </c>
      <c r="R28" cm="1">
        <f t="array" ref="R28">_xll.TR(Q28,"TR.PriceClose")</f>
        <v>2584.41</v>
      </c>
      <c r="S28" cm="1">
        <f t="array" aca="1" ref="S28" ca="1">_xll.TR(Q28,"TR.PriceClose","SDate:"&amp;TEXT(WORKDAY(TODAY(),-5),"yyyy-mm-dd"))</f>
        <v>2627.76</v>
      </c>
      <c r="T28" t="s">
        <v>140</v>
      </c>
      <c r="U28" s="9" cm="1">
        <f t="array" ref="U28">_xll.TR(T28,"BID")</f>
        <v>21.177</v>
      </c>
      <c r="V28" s="9" cm="1">
        <f t="array" aca="1" ref="V28" ca="1">_xll.TR(T28,"CF_CLOSE","SDate:"&amp;TEXT(WORKDAY(TODAY(),-5),"yyyy-mm-dd"))</f>
        <v>21.152999999999999</v>
      </c>
    </row>
    <row r="29" spans="1:22" ht="14" customHeight="1">
      <c r="A29" s="31" t="s">
        <v>33</v>
      </c>
      <c r="B29" s="50"/>
      <c r="C29" s="51">
        <f ca="1">'CDS from CapitalIQ'!C24</f>
        <v>7.8333000000000004</v>
      </c>
      <c r="D29" s="25">
        <f ca="1">'CDS from CapitalIQ'!T24</f>
        <v>-8.2999999999999297E-2</v>
      </c>
      <c r="E29" s="25">
        <f ca="1">'CDS from CapitalIQ'!V24</f>
        <v>-0.29169999999999963</v>
      </c>
      <c r="F29" s="25">
        <f ca="1">'CDS from CapitalIQ'!W24</f>
        <v>-1.1666999999999996</v>
      </c>
      <c r="G29" s="41">
        <f ca="1">'CDS from CapitalIQ'!X24</f>
        <v>-1.9418999999999995</v>
      </c>
      <c r="H29" s="40" cm="1">
        <f t="array" aca="1" ref="H29" ca="1">(_xll.TR(Q29,"TR.PriceClose")-_xll.TR(Q29,"TR.PriceClose","SDate:"&amp;TEXT(WORKDAY(TODAY(),-5),"yyyy-mm-dd")))/_xll.TR(Q29,"TR.PriceClose","SDate:"&amp;TEXT(WORKDAY(TODAY(),-5),"yyyy-mm-dd"))*100</f>
        <v>1.6302779647975372</v>
      </c>
      <c r="I29" s="13" cm="1">
        <f t="array" aca="1" ref="I29" ca="1">((_xll.TR(Q29,"TR.PriceClose")-_xll.TR(Q29,"TR.PriceClose","SDate:"&amp;TEXT(WORKDAY(TODAY(),-14),"yyyy-mm-dd")))/_xll.TR(Q29,"TR.PriceClose","SDate:"&amp;TEXT(WORKDAY(TODAY(),-14),"yyyy-mm-dd")))*100</f>
        <v>5.3641268821254817</v>
      </c>
      <c r="J29" s="13" cm="1">
        <f t="array" aca="1" ref="J29" ca="1">(_xll.TR(Q29,"TRDPRC_1")-_xll.TR(Q29,"TR.PriceClose","SDate:"&amp;TEXT(WORKDAY(TODAY(),-65),"yyyy-mm-dd")))/_xll.TR(Q29,"TR.PriceClose","SDate:"&amp;TEXT(WORKDAY(TODAY(),-65),"yyyy-mm-dd"))*100</f>
        <v>6.4742039500201587</v>
      </c>
      <c r="K29" s="56" cm="1">
        <f t="array" aca="1" ref="K29" ca="1">(_xll.TR(Q29,"TRDPRC_1")-_xll.TR(Q29,"TR.PriceClose","SDate:"&amp;TEXT(WORKDAY(TODAY(),-260),"yyyy-mm-dd")))/_xll.TR(Q29,"TR.PriceClose","SDate:"&amp;TEXT(WORKDAY(TODAY(),-260),"yyyy-mm-dd"))*100</f>
        <v>9.6267903974177926</v>
      </c>
      <c r="L29" s="40" cm="1">
        <f t="array" aca="1" ref="L29" ca="1">_xll.TR(T29,"TR.MIDPRICE","SDate:"&amp;TEXT(WORKDAY(TODAY(),-5),"yyyy-mm-dd"))</f>
        <v>6.5488999999999997</v>
      </c>
      <c r="M29" s="13" cm="1">
        <f t="array" aca="1" ref="M29" ca="1">_xll.TR(T29,"TR.MIDPRICE","SDate:"&amp;TEXT(WORKDAY(TODAY(),-14),"yyyy-mm-dd"))</f>
        <v>6.5438999999999998</v>
      </c>
      <c r="N29" s="13" cm="1">
        <f t="array" ref="N29">-_xll.TR(T29,"PCTCHG_3M")</f>
        <v>-2.93</v>
      </c>
      <c r="O29" s="56" cm="1">
        <f t="array" ref="O29">-_xll.TR(T29,"PCTCHG_YTD")</f>
        <v>-2.82</v>
      </c>
      <c r="P29" t="s">
        <v>70</v>
      </c>
      <c r="Q29" t="s">
        <v>273</v>
      </c>
      <c r="T29" t="s">
        <v>141</v>
      </c>
      <c r="U29" s="9" cm="1">
        <f t="array" ref="U29">_xll.TR(T29,"BID")</f>
        <v>6.5380000000000003</v>
      </c>
      <c r="V29" s="9" cm="1">
        <f t="array" aca="1" ref="V29" ca="1">_xll.TR(T29,"CF_CLOSE","SDate:"&amp;TEXT(WORKDAY(TODAY(),-5),"yyyy-mm-dd"))</f>
        <v>6.5327000000000002</v>
      </c>
    </row>
    <row r="30" spans="1:22" ht="14" customHeight="1">
      <c r="A30" s="10" t="s">
        <v>34</v>
      </c>
      <c r="B30" s="49"/>
      <c r="C30" s="51">
        <f ca="1">'CDS from CapitalIQ'!C25</f>
        <v>4.7927</v>
      </c>
      <c r="D30" s="25">
        <f ca="1">'CDS from CapitalIQ'!T25</f>
        <v>0.29309999999999992</v>
      </c>
      <c r="E30" s="25">
        <f ca="1">'CDS from CapitalIQ'!V25</f>
        <v>8.6899999999999977E-2</v>
      </c>
      <c r="F30" s="25">
        <f ca="1">'CDS from CapitalIQ'!W25</f>
        <v>-0.78570000000000029</v>
      </c>
      <c r="G30" s="41">
        <f ca="1">'CDS from CapitalIQ'!X25</f>
        <v>-3.6713000000000005</v>
      </c>
      <c r="H30" s="40" cm="1">
        <f t="array" aca="1" ref="H30" ca="1">(_xll.TR(Q30,"TR.PriceClose")-_xll.TR(Q30,"TR.PriceClose","SDate:"&amp;TEXT(WORKDAY(TODAY(),-5),"yyyy-mm-dd")))/_xll.TR(Q30,"TR.PriceClose","SDate:"&amp;TEXT(WORKDAY(TODAY(),-5),"yyyy-mm-dd"))*100</f>
        <v>1.6426705331606311</v>
      </c>
      <c r="I30" s="13" cm="1">
        <f t="array" aca="1" ref="I30" ca="1">((_xll.TR(Q30,"TR.PriceClose")-_xll.TR(Q30,"TR.PriceClose","SDate:"&amp;TEXT(WORKDAY(TODAY(),-14),"yyyy-mm-dd")))/_xll.TR(Q30,"TR.PriceClose","SDate:"&amp;TEXT(WORKDAY(TODAY(),-14),"yyyy-mm-dd")))*100</f>
        <v>3.4592454273437023</v>
      </c>
      <c r="J30" s="13" cm="1">
        <f t="array" aca="1" ref="J30" ca="1">(_xll.TR(Q30,"TRDPRC_1")-_xll.TR(Q30,"TR.PriceClose","SDate:"&amp;TEXT(WORKDAY(TODAY(),-65),"yyyy-mm-dd")))/_xll.TR(Q30,"TR.PriceClose","SDate:"&amp;TEXT(WORKDAY(TODAY(),-65),"yyyy-mm-dd"))*100</f>
        <v>0.21137686970467856</v>
      </c>
      <c r="K30" s="56" cm="1">
        <f t="array" aca="1" ref="K30" ca="1">(_xll.TR(Q30,"TRDPRC_1")-_xll.TR(Q30,"TR.PriceClose","SDate:"&amp;TEXT(WORKDAY(TODAY(),-260),"yyyy-mm-dd")))/_xll.TR(Q30,"TR.PriceClose","SDate:"&amp;TEXT(WORKDAY(TODAY(),-260),"yyyy-mm-dd"))*100</f>
        <v>22.940415338879738</v>
      </c>
      <c r="L30" s="40" cm="1">
        <f t="array" aca="1" ref="L30" ca="1">_xll.TR(T30,"TR.MIDPRICE","SDate:"&amp;TEXT(WORKDAY(TODAY(),-5),"yyyy-mm-dd"))</f>
        <v>9.78505</v>
      </c>
      <c r="M30" s="13" cm="1">
        <f t="array" aca="1" ref="M30" ca="1">_xll.TR(T30,"TR.MIDPRICE","SDate:"&amp;TEXT(WORKDAY(TODAY(),-14),"yyyy-mm-dd"))</f>
        <v>9.9289500000000004</v>
      </c>
      <c r="N30" s="13" cm="1">
        <f t="array" ref="N30">-_xll.TR(T30,"PCTCHG_3M")</f>
        <v>-2.96</v>
      </c>
      <c r="O30" s="56" cm="1">
        <f t="array" ref="O30">-_xll.TR(T30,"PCTCHG_YTD")</f>
        <v>4.1100000000000003</v>
      </c>
      <c r="P30" t="s">
        <v>71</v>
      </c>
      <c r="Q30" t="s">
        <v>113</v>
      </c>
      <c r="R30" cm="1">
        <f t="array" ref="R30">_xll.TR(Q30,"TR.PriceClose")</f>
        <v>2299.33</v>
      </c>
      <c r="S30" cm="1">
        <f t="array" aca="1" ref="S30" ca="1">_xll.TR(Q30,"TR.PriceClose","SDate:"&amp;TEXT(WORKDAY(TODAY(),-5),"yyyy-mm-dd"))</f>
        <v>2262.17</v>
      </c>
      <c r="T30" t="s">
        <v>142</v>
      </c>
      <c r="U30" s="9" cm="1">
        <f t="array" ref="U30">_xll.TR(T30,"BID")</f>
        <v>9.6379000000000001</v>
      </c>
      <c r="V30" s="9" cm="1">
        <f t="array" aca="1" ref="V30" ca="1">_xll.TR(T30,"CF_CLOSE","SDate:"&amp;TEXT(WORKDAY(TODAY(),-5),"yyyy-mm-dd"))</f>
        <v>9.6576000000000004</v>
      </c>
    </row>
    <row r="31" spans="1:22" ht="14" customHeight="1">
      <c r="A31" s="12" t="s">
        <v>35</v>
      </c>
      <c r="B31" s="50"/>
      <c r="C31" s="51">
        <f ca="1">'CDS from CapitalIQ'!C26</f>
        <v>50.662199999999999</v>
      </c>
      <c r="D31" s="25">
        <f ca="1">'CDS from CapitalIQ'!T26</f>
        <v>0.11599999999999966</v>
      </c>
      <c r="E31" s="25">
        <f ca="1">'CDS from CapitalIQ'!V26</f>
        <v>0.11359999999999815</v>
      </c>
      <c r="F31" s="25">
        <f ca="1">'CDS from CapitalIQ'!W26</f>
        <v>-1.6255999999999986</v>
      </c>
      <c r="G31" s="41">
        <f ca="1">'CDS from CapitalIQ'!X26</f>
        <v>-15.7928</v>
      </c>
      <c r="H31" s="40" cm="1">
        <f t="array" aca="1" ref="H31" ca="1">(_xll.TR(Q31,"TR.PriceClose")-_xll.TR(Q31,"TR.PriceClose","SDate:"&amp;TEXT(WORKDAY(TODAY(),-5),"yyyy-mm-dd")))/_xll.TR(Q31,"TR.PriceClose","SDate:"&amp;TEXT(WORKDAY(TODAY(),-5),"yyyy-mm-dd"))*100</f>
        <v>-8.1973736569840708E-2</v>
      </c>
      <c r="I31" s="13" cm="1">
        <f t="array" aca="1" ref="I31" ca="1">((_xll.TR(Q31,"TR.PriceClose")-_xll.TR(Q31,"TR.PriceClose","SDate:"&amp;TEXT(WORKDAY(TODAY(),-14),"yyyy-mm-dd")))/_xll.TR(Q31,"TR.PriceClose","SDate:"&amp;TEXT(WORKDAY(TODAY(),-14),"yyyy-mm-dd")))*100</f>
        <v>5.7107332708381229</v>
      </c>
      <c r="J31" s="13" cm="1">
        <f t="array" aca="1" ref="J31" ca="1">(_xll.TR(Q31,"TRDPRC_1")-_xll.TR(Q31,"TR.PriceClose","SDate:"&amp;TEXT(WORKDAY(TODAY(),-65),"yyyy-mm-dd")))/_xll.TR(Q31,"TR.PriceClose","SDate:"&amp;TEXT(WORKDAY(TODAY(),-65),"yyyy-mm-dd"))*100</f>
        <v>1.778360265902825</v>
      </c>
      <c r="K31" s="56" cm="1">
        <f t="array" aca="1" ref="K31" ca="1">(_xll.TR(Q31,"TRDPRC_1")-_xll.TR(Q31,"TR.PriceClose","SDate:"&amp;TEXT(WORKDAY(TODAY(),-260),"yyyy-mm-dd")))/_xll.TR(Q31,"TR.PriceClose","SDate:"&amp;TEXT(WORKDAY(TODAY(),-260),"yyyy-mm-dd"))*100</f>
        <v>27.061145315003792</v>
      </c>
      <c r="L31" s="40" cm="1">
        <f t="array" aca="1" ref="L31" ca="1">_xll.TR(T31,"TR.MIDPRICE","SDate:"&amp;TEXT(WORKDAY(TODAY(),-5),"yyyy-mm-dd"))</f>
        <v>3.7891499999999998</v>
      </c>
      <c r="M31" s="13" cm="1">
        <f t="array" aca="1" ref="M31" ca="1">_xll.TR(T31,"TR.MIDPRICE","SDate:"&amp;TEXT(WORKDAY(TODAY(),-14),"yyyy-mm-dd"))</f>
        <v>3.7542</v>
      </c>
      <c r="N31" s="13" cm="1">
        <f t="array" ref="N31">-_xll.TR(T31,"PCTCHG_3M")</f>
        <v>-5.77</v>
      </c>
      <c r="O31" s="56" cm="1">
        <f t="array" ref="O31">-_xll.TR(T31,"PCTCHG_YTD")</f>
        <v>-5.89</v>
      </c>
      <c r="P31" t="s">
        <v>72</v>
      </c>
      <c r="Q31" t="s">
        <v>114</v>
      </c>
      <c r="R31" cm="1">
        <f t="array" ref="R31">_xll.TR(Q31,"TR.PriceClose")</f>
        <v>3766.41</v>
      </c>
      <c r="S31" cm="1">
        <f t="array" aca="1" ref="S31" ca="1">_xll.TR(Q31,"TR.PriceClose","SDate:"&amp;TEXT(WORKDAY(TODAY(),-5),"yyyy-mm-dd"))</f>
        <v>3769.5</v>
      </c>
      <c r="T31" t="s">
        <v>143</v>
      </c>
      <c r="U31" s="9" cm="1">
        <f t="array" ref="U31">_xll.TR(T31,"BID")</f>
        <v>3.7949000000000002</v>
      </c>
      <c r="V31" s="9" cm="1">
        <f t="array" aca="1" ref="V31" ca="1">_xll.TR(T31,"CF_CLOSE","SDate:"&amp;TEXT(WORKDAY(TODAY(),-5),"yyyy-mm-dd"))</f>
        <v>3.7812000000000001</v>
      </c>
    </row>
    <row r="32" spans="1:22" ht="14" customHeight="1">
      <c r="A32" s="10" t="s">
        <v>36</v>
      </c>
      <c r="B32" s="49"/>
      <c r="C32" s="51">
        <f ca="1">'CDS from CapitalIQ'!C27</f>
        <v>6.4809000000000001</v>
      </c>
      <c r="D32" s="25">
        <f ca="1">'CDS from CapitalIQ'!T27</f>
        <v>-0.2466999999999997</v>
      </c>
      <c r="E32" s="25">
        <f ca="1">'CDS from CapitalIQ'!V27</f>
        <v>-1.0190999999999999</v>
      </c>
      <c r="F32" s="25">
        <f ca="1">'CDS from CapitalIQ'!W27</f>
        <v>-1.3524000000000003</v>
      </c>
      <c r="G32" s="41">
        <f ca="1">'CDS from CapitalIQ'!X27</f>
        <v>-3.6494</v>
      </c>
      <c r="H32" s="40" cm="1">
        <f t="array" aca="1" ref="H32" ca="1">(_xll.TR(Q32,"TR.PriceClose")-_xll.TR(Q32,"TR.PriceClose","SDate:"&amp;TEXT(WORKDAY(TODAY(),-5),"yyyy-mm-dd")))/_xll.TR(Q32,"TR.PriceClose","SDate:"&amp;TEXT(WORKDAY(TODAY(),-5),"yyyy-mm-dd"))*100</f>
        <v>-0.88936385404010943</v>
      </c>
      <c r="I32" s="13" cm="1">
        <f t="array" aca="1" ref="I32" ca="1">((_xll.TR(Q32,"TR.PriceClose")-_xll.TR(Q32,"TR.PriceClose","SDate:"&amp;TEXT(WORKDAY(TODAY(),-14),"yyyy-mm-dd")))/_xll.TR(Q32,"TR.PriceClose","SDate:"&amp;TEXT(WORKDAY(TODAY(),-14),"yyyy-mm-dd")))*100</f>
        <v>-0.54503398567944417</v>
      </c>
      <c r="J32" s="13" cm="1">
        <f t="array" aca="1" ref="J32" ca="1">(_xll.TR(Q32,"TRDPRC_1")-_xll.TR(Q32,"TR.PriceClose","SDate:"&amp;TEXT(WORKDAY(TODAY(),-65),"yyyy-mm-dd")))/_xll.TR(Q32,"TR.PriceClose","SDate:"&amp;TEXT(WORKDAY(TODAY(),-65),"yyyy-mm-dd"))*100</f>
        <v>-1.1058323235269074</v>
      </c>
      <c r="K32" s="56" cm="1">
        <f t="array" aca="1" ref="K32" ca="1">(_xll.TR(Q32,"TRDPRC_1")-_xll.TR(Q32,"TR.PriceClose","SDate:"&amp;TEXT(WORKDAY(TODAY(),-260),"yyyy-mm-dd")))/_xll.TR(Q32,"TR.PriceClose","SDate:"&amp;TEXT(WORKDAY(TODAY(),-260),"yyyy-mm-dd"))*100</f>
        <v>23.569140178497449</v>
      </c>
      <c r="L32" s="40" cm="1">
        <f t="array" aca="1" ref="L32" ca="1">_xll.TR(T32,"TR.MIDPRICE","SDate:"&amp;TEXT(WORKDAY(TODAY(),-5),"yyyy-mm-dd"))</f>
        <v>9.6626999999999992</v>
      </c>
      <c r="M32" s="13" cm="1">
        <f t="array" aca="1" ref="M32" ca="1">_xll.TR(T32,"TR.MIDPRICE","SDate:"&amp;TEXT(WORKDAY(TODAY(),-14),"yyyy-mm-dd"))</f>
        <v>9.7132000000000005</v>
      </c>
      <c r="N32" s="13" cm="1">
        <f t="array" ref="N32">-_xll.TR(T32,"PCTCHG_3M")</f>
        <v>-5.44</v>
      </c>
      <c r="O32" s="56" cm="1">
        <f t="array" ref="O32">-_xll.TR(T32,"PCTCHG_YTD")</f>
        <v>-4.92</v>
      </c>
      <c r="P32" t="s">
        <v>73</v>
      </c>
      <c r="Q32" t="s">
        <v>115</v>
      </c>
      <c r="R32" cm="1">
        <f t="array" ref="R32">_xll.TR(Q32,"TR.PriceClose")</f>
        <v>3149.5149999999999</v>
      </c>
      <c r="S32" cm="1">
        <f t="array" aca="1" ref="S32" ca="1">_xll.TR(Q32,"TR.PriceClose","SDate:"&amp;TEXT(WORKDAY(TODAY(),-5),"yyyy-mm-dd"))</f>
        <v>3177.777</v>
      </c>
      <c r="T32" t="s">
        <v>144</v>
      </c>
      <c r="U32" s="9" cm="1">
        <f t="array" ref="U32">_xll.TR(T32,"BID")</f>
        <v>9.6519999999999992</v>
      </c>
      <c r="V32" s="9" cm="1">
        <f t="array" aca="1" ref="V32" ca="1">_xll.TR(T32,"CF_CLOSE","SDate:"&amp;TEXT(WORKDAY(TODAY(),-5),"yyyy-mm-dd"))</f>
        <v>9.6304999999999996</v>
      </c>
    </row>
    <row r="33" spans="1:23" ht="14" customHeight="1">
      <c r="A33" s="12" t="s">
        <v>37</v>
      </c>
      <c r="B33" s="50"/>
      <c r="C33" s="51">
        <f ca="1">'CDS from CapitalIQ'!C28</f>
        <v>7.2488000000000001</v>
      </c>
      <c r="D33" s="25">
        <f ca="1">'CDS from CapitalIQ'!T28</f>
        <v>5.5000000000005045E-3</v>
      </c>
      <c r="E33" s="25">
        <f ca="1">'CDS from CapitalIQ'!V28</f>
        <v>7.6999999999998181E-3</v>
      </c>
      <c r="F33" s="25">
        <f ca="1">'CDS from CapitalIQ'!W28</f>
        <v>-0.64949999999999974</v>
      </c>
      <c r="G33" s="41">
        <f ca="1">'CDS from CapitalIQ'!X28</f>
        <v>-0.91790000000000038</v>
      </c>
      <c r="H33" s="40" cm="1">
        <f t="array" aca="1" ref="H33" ca="1">(_xll.TR(Q33,"TR.PriceClose")-_xll.TR(Q33,"TR.PriceClose","SDate:"&amp;TEXT(WORKDAY(TODAY(),-5),"yyyy-mm-dd")))/_xll.TR(Q33,"TR.PriceClose","SDate:"&amp;TEXT(WORKDAY(TODAY(),-5),"yyyy-mm-dd"))*100</f>
        <v>0.22549910116480024</v>
      </c>
      <c r="I33" s="13" cm="1">
        <f t="array" aca="1" ref="I33" ca="1">((_xll.TR(Q33,"TR.PriceClose")-_xll.TR(Q33,"TR.PriceClose","SDate:"&amp;TEXT(WORKDAY(TODAY(),-14),"yyyy-mm-dd")))/_xll.TR(Q33,"TR.PriceClose","SDate:"&amp;TEXT(WORKDAY(TODAY(),-14),"yyyy-mm-dd")))*100</f>
        <v>0.30434690907557616</v>
      </c>
      <c r="J33" s="13" cm="1">
        <f t="array" aca="1" ref="J33" ca="1">(_xll.TR(Q33,"TRDPRC_1")-_xll.TR(Q33,"TR.PriceClose","SDate:"&amp;TEXT(WORKDAY(TODAY(),-65),"yyyy-mm-dd")))/_xll.TR(Q33,"TR.PriceClose","SDate:"&amp;TEXT(WORKDAY(TODAY(),-65),"yyyy-mm-dd"))*100</f>
        <v>6.8295160694495856</v>
      </c>
      <c r="K33" s="56" cm="1">
        <f t="array" aca="1" ref="K33" ca="1">(_xll.TR(Q33,"TRDPRC_1")-_xll.TR(Q33,"TR.PriceClose","SDate:"&amp;TEXT(WORKDAY(TODAY(),-260),"yyyy-mm-dd")))/_xll.TR(Q33,"TR.PriceClose","SDate:"&amp;TEXT(WORKDAY(TODAY(),-260),"yyyy-mm-dd"))*100</f>
        <v>19.701307946066532</v>
      </c>
      <c r="L33" s="40" cm="1">
        <f t="array" aca="1" ref="L33" ca="1">_xll.TR(T33,"TR.MIDPRICE","SDate:"&amp;TEXT(WORKDAY(TODAY(),-5),"yyyy-mm-dd"))</f>
        <v>0.80854999999999999</v>
      </c>
      <c r="M33" s="13" cm="1">
        <f t="array" aca="1" ref="M33" ca="1">_xll.TR(T33,"TR.MIDPRICE","SDate:"&amp;TEXT(WORKDAY(TODAY(),-14),"yyyy-mm-dd"))</f>
        <v>0.80764999999999998</v>
      </c>
      <c r="N33" s="13" cm="1">
        <f t="array" ref="N33">-_xll.TR(T33,"PCTCHG_3M")</f>
        <v>-3.31</v>
      </c>
      <c r="O33" s="56" cm="1">
        <f t="array" ref="O33">-_xll.TR(T33,"PCTCHG_YTD")</f>
        <v>-1.93</v>
      </c>
      <c r="P33" t="s">
        <v>74</v>
      </c>
      <c r="Q33" t="s">
        <v>116</v>
      </c>
      <c r="R33" cm="1">
        <f t="array" ref="R33">_xll.TR(Q33,"TR.PriceClose")</f>
        <v>14267.19</v>
      </c>
      <c r="S33" cm="1">
        <f t="array" aca="1" ref="S33" ca="1">_xll.TR(Q33,"TR.PriceClose","SDate:"&amp;TEXT(WORKDAY(TODAY(),-5),"yyyy-mm-dd"))</f>
        <v>14235.09</v>
      </c>
      <c r="T33" t="s">
        <v>145</v>
      </c>
      <c r="U33" s="9" cm="1">
        <f t="array" ref="U33">_xll.TR(T33,"BID")</f>
        <v>0.80759999999999998</v>
      </c>
      <c r="V33" s="9" cm="1">
        <f t="array" aca="1" ref="V33" ca="1">_xll.TR(T33,"CF_CLOSE","SDate:"&amp;TEXT(WORKDAY(TODAY(),-5),"yyyy-mm-dd"))</f>
        <v>0.80859999999999999</v>
      </c>
    </row>
    <row r="34" spans="1:23" ht="14" customHeight="1">
      <c r="A34" s="30" t="s">
        <v>38</v>
      </c>
      <c r="B34" s="49"/>
      <c r="C34" s="51">
        <f ca="1">'CDS from CapitalIQ'!C29</f>
        <v>760.57230000000004</v>
      </c>
      <c r="D34" s="25">
        <f ca="1">'CDS from CapitalIQ'!T29</f>
        <v>0.71660000000008495</v>
      </c>
      <c r="E34" s="25">
        <f ca="1">'CDS from CapitalIQ'!V29</f>
        <v>1.7397000000000844</v>
      </c>
      <c r="F34" s="25">
        <f ca="1">'CDS from CapitalIQ'!W29</f>
        <v>84.751600000000053</v>
      </c>
      <c r="G34" s="41">
        <f ca="1">'CDS from CapitalIQ'!X29</f>
        <v>-14026.757</v>
      </c>
      <c r="H34" s="40" t="e" cm="1">
        <f t="array" aca="1" ref="H34" ca="1">(_xll.TR(Q34,"TR.PriceClose")-_xll.TR(Q34,"TR.PriceClose","SDate:"&amp;TEXT(WORKDAY(TODAY(),-5),"yyyy-mm-dd")))/_xll.TR(Q34,"TR.PriceClose","SDate:"&amp;TEXT(WORKDAY(TODAY(),-5),"yyyy-mm-dd"))*100</f>
        <v>#VALUE!</v>
      </c>
      <c r="I34" s="13" t="e" cm="1">
        <f t="array" aca="1" ref="I34" ca="1">((_xll.TR(Q34,"TR.PriceClose")-_xll.TR(Q34,"TR.PriceClose","SDate:"&amp;TEXT(WORKDAY(TODAY(),-14),"yyyy-mm-dd")))/_xll.TR(Q34,"TR.PriceClose","SDate:"&amp;TEXT(WORKDAY(TODAY(),-14),"yyyy-mm-dd")))*100</f>
        <v>#VALUE!</v>
      </c>
      <c r="J34" s="13" t="str" cm="1">
        <f t="array" aca="1" ref="J34" ca="1">IFERROR(((_xll.TR(Q34,"TR.PriceClose")-_xll.TR(Q34,"TR.PriceClose","SDate:"&amp;EDATE(TODAY(),-3)))/_xll.TR(Q34,"TR.PriceClose","SDate:"&amp;EDATE(TODAY(),-3)))*100,"-")</f>
        <v>-</v>
      </c>
      <c r="K34" s="56" t="e" cm="1">
        <f t="array" aca="1" ref="K34" ca="1">(_xll.TR(Q34,"TRDPRC_1")-_xll.TR(Q34,"TR.PriceClose","SDate:"&amp;TEXT(WORKDAY(TODAY(),-260),"yyyy-mm-dd")))/_xll.TR(Q34,"TR.PriceClose","SDate:"&amp;TEXT(WORKDAY(TODAY(),-260),"yyyy-mm-dd"))*100</f>
        <v>#VALUE!</v>
      </c>
      <c r="L34" s="40" cm="1">
        <f t="array" aca="1" ref="L34" ca="1">(_xll.TR(T34,"CF_CLOSE")-_xll.TR(T34,"CF_CLOSE","SDate:"&amp;TEXT(WORKDAY(TODAY(),-5),"yyyy-mm-dd")))/_xll.TR(T34,"CF_CLOSE","SDate:"&amp;TEXT(WORKDAY(TODAY(),-5),"yyyy-mm-dd"))</f>
        <v>0</v>
      </c>
      <c r="M34" s="13" cm="1">
        <f t="array" aca="1" ref="M34" ca="1">_xll.TR(T34,"TR.MIDPRICE","SDate:"&amp;TEXT(WORKDAY(TODAY(),-14),"yyyy-mm-dd"))</f>
        <v>44.848199999999999</v>
      </c>
      <c r="N34" s="13" cm="1">
        <f t="array" ref="N34">-_xll.TR(T34,"PCTCHG_3M")</f>
        <v>-1.44</v>
      </c>
      <c r="O34" s="56" cm="1">
        <f t="array" ref="O34">-_xll.TR(T34,"PCTCHG_YTD")</f>
        <v>-6.28</v>
      </c>
      <c r="P34" t="s">
        <v>75</v>
      </c>
      <c r="Q34" t="s">
        <v>117</v>
      </c>
      <c r="T34" t="s">
        <v>146</v>
      </c>
      <c r="U34" s="9" cm="1">
        <f t="array" ref="U34">_xll.TR(T34,"BID")</f>
        <v>44.6905</v>
      </c>
      <c r="V34" s="9" cm="1">
        <f t="array" aca="1" ref="V34" ca="1">_xll.TR(T34,"CF_CLOSE","SDate:"&amp;TEXT(WORKDAY(TODAY(),-5),"yyyy-mm-dd"))</f>
        <v>44.6312</v>
      </c>
    </row>
    <row r="35" spans="1:23" ht="14" customHeight="1">
      <c r="A35" s="70" t="s">
        <v>39</v>
      </c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U35" s="9"/>
      <c r="V35" s="9"/>
    </row>
    <row r="36" spans="1:23" ht="14" customHeight="1">
      <c r="A36" s="12" t="s">
        <v>40</v>
      </c>
      <c r="B36" s="50"/>
      <c r="C36" s="51">
        <f ca="1">'CDS from CapitalIQ'!C31</f>
        <v>14</v>
      </c>
      <c r="D36" s="25">
        <f ca="1">'CDS from CapitalIQ'!T31</f>
        <v>5.4100000000000037E-2</v>
      </c>
      <c r="E36" s="25">
        <f ca="1">'CDS from CapitalIQ'!V31</f>
        <v>0.54190000000000005</v>
      </c>
      <c r="F36" s="25">
        <f ca="1">'CDS from CapitalIQ'!W31</f>
        <v>-5.8000000000006935E-3</v>
      </c>
      <c r="G36" s="41">
        <f ca="1">'CDS from CapitalIQ'!X31</f>
        <v>3.3515999999999995</v>
      </c>
      <c r="H36" s="42" cm="1">
        <f t="array" aca="1" ref="H36" ca="1">(_xll.TR(Q36,"TR.PriceClose")-_xll.TR(Q36,"TR.PriceClose","SDate:"&amp;TEXT(WORKDAY(TODAY(),-5),"yyyy-mm-dd")))/_xll.TR(Q36,"TR.PriceClose","SDate:"&amp;TEXT(WORKDAY(TODAY(),-5),"yyyy-mm-dd"))*100</f>
        <v>-0.10560981149215617</v>
      </c>
      <c r="I36" s="13" cm="1">
        <f t="array" aca="1" ref="I36" ca="1">((_xll.TR(Q36,"TR.PriceClose")-_xll.TR(Q36,"TR.PriceClose","SDate:"&amp;TEXT(WORKDAY(TODAY(),-14),"yyyy-mm-dd")))/_xll.TR(Q36,"TR.PriceClose","SDate:"&amp;TEXT(WORKDAY(TODAY(),-14),"yyyy-mm-dd")))*100</f>
        <v>-0.30260443819841454</v>
      </c>
      <c r="J36" s="13" cm="1">
        <f t="array" aca="1" ref="J36" ca="1">(_xll.TR(Q36,"TRDPRC_1")-_xll.TR(Q36,"TR.PriceClose","SDate:"&amp;TEXT(WORKDAY(TODAY(),-65),"yyyy-mm-dd")))/_xll.TR(Q36,"TR.PriceClose","SDate:"&amp;TEXT(WORKDAY(TODAY(),-65),"yyyy-mm-dd"))*100</f>
        <v>-1.6787937721445294</v>
      </c>
      <c r="K36" s="56" cm="1">
        <f t="array" aca="1" ref="K36" ca="1">(_xll.TR(Q36,"TR.PriceClose")-_xll.TR(Q36,"TR.PriceClose","SDate:"&amp;TEXT(WORKDAY(TODAY(),-260),"yyyy-mm-dd")))/_xll.TR(Q36,"TR.PriceClose","SDate:"&amp;TEXT(WORKDAY(TODAY(),-260),"yyyy-mm-dd"))*100</f>
        <v>0.45105741561229618</v>
      </c>
      <c r="L36" s="40" cm="1">
        <f t="array" aca="1" ref="L36" ca="1">_xll.TR(T36,"TR.MIDPRICE","SDate:"&amp;TEXT(WORKDAY(TODAY(),-5),"yyyy-mm-dd"))</f>
        <v>0.69525000000000003</v>
      </c>
      <c r="M36" s="13" cm="1">
        <f t="array" aca="1" ref="M36" ca="1">_xll.TR(T36,"TR.MIDPRICE","SDate:"&amp;TEXT(WORKDAY(TODAY(),-14),"yyyy-mm-dd"))</f>
        <v>0.68869999999999998</v>
      </c>
      <c r="N36" s="13" cm="1">
        <f t="array" ref="N36">-_xll.TR(T36,"PCTCHG_3M")</f>
        <v>2.61</v>
      </c>
      <c r="O36" s="56" cm="1">
        <f t="array" ref="O36">-_xll.TR(T36,"PCTCHG_YTD")</f>
        <v>-4.5999999999999996</v>
      </c>
      <c r="P36" t="s">
        <v>76</v>
      </c>
      <c r="Q36" t="s">
        <v>120</v>
      </c>
      <c r="R36" cm="1">
        <f t="array" ref="R36">_xll.TR(Q36,"TR.PriceClose")</f>
        <v>8796.7000000000007</v>
      </c>
      <c r="S36" cm="1">
        <f t="array" aca="1" ref="S36" ca="1">_xll.TR(Q36,"TR.PriceClose","SDate:"&amp;TEXT(WORKDAY(TODAY(),-5),"yyyy-mm-dd"))</f>
        <v>8806</v>
      </c>
      <c r="T36" t="s">
        <v>147</v>
      </c>
      <c r="U36" s="9" cm="1">
        <f t="array" ref="U36">_xll.TR(T36,"BID")</f>
        <v>0.69789999999999996</v>
      </c>
      <c r="V36" s="9" cm="1">
        <f t="array" aca="1" ref="V36" ca="1">_xll.TR(T36,"CF_CLOSE","SDate:"&amp;TEXT(WORKDAY(TODAY(),-5),"yyyy-mm-dd"))</f>
        <v>0.6996</v>
      </c>
      <c r="W36" s="19"/>
    </row>
    <row r="37" spans="1:23" ht="14" customHeight="1">
      <c r="A37" s="10" t="s">
        <v>41</v>
      </c>
      <c r="B37" s="49"/>
      <c r="C37" s="51">
        <f ca="1">'CDS from CapitalIQ'!C32</f>
        <v>37.072899999999997</v>
      </c>
      <c r="D37" s="25">
        <f ca="1">'CDS from CapitalIQ'!T32</f>
        <v>0.37749999999999773</v>
      </c>
      <c r="E37" s="25">
        <f ca="1">'CDS from CapitalIQ'!V32</f>
        <v>3.9799999999999613E-2</v>
      </c>
      <c r="F37" s="25">
        <f ca="1">'CDS from CapitalIQ'!W32</f>
        <v>-6.197100000000006</v>
      </c>
      <c r="G37" s="41">
        <f ca="1">'CDS from CapitalIQ'!X32</f>
        <v>-7.3399000000000001</v>
      </c>
      <c r="H37" s="42" cm="1">
        <f t="array" aca="1" ref="H37" ca="1">(_xll.TR(Q37,"TR.PriceClose")-_xll.TR(Q37,"TR.PriceClose","SDate:"&amp;TEXT(WORKDAY(TODAY(),-5),"yyyy-mm-dd")))/_xll.TR(Q37,"TR.PriceClose","SDate:"&amp;TEXT(WORKDAY(TODAY(),-5),"yyyy-mm-dd"))*100</f>
        <v>-5.8057436916465006</v>
      </c>
      <c r="I37" s="13" cm="1">
        <f t="array" aca="1" ref="I37" ca="1">((_xll.TR(Q37,"TR.PriceClose")-_xll.TR(Q37,"TR.PriceClose","SDate:"&amp;TEXT(WORKDAY(TODAY(),-14),"yyyy-mm-dd")))/_xll.TR(Q37,"TR.PriceClose","SDate:"&amp;TEXT(WORKDAY(TODAY(),-14),"yyyy-mm-dd")))*100</f>
        <v>-7.6032026005929367</v>
      </c>
      <c r="J37" s="13" cm="1">
        <f t="array" aca="1" ref="J37" ca="1">(_xll.TR(Q37,"TRDPRC_1")-_xll.TR(Q37,"TR.PriceClose","SDate:"&amp;TEXT(WORKDAY(TODAY(),-65),"yyyy-mm-dd")))/_xll.TR(Q37,"TR.PriceClose","SDate:"&amp;TEXT(WORKDAY(TODAY(),-65),"yyyy-mm-dd"))*100</f>
        <v>-7.0906081597849484</v>
      </c>
      <c r="K37" s="56" cm="1">
        <f t="array" aca="1" ref="K37" ca="1">(_xll.TR(Q37,"TR.PriceClose")-_xll.TR(Q37,"TR.PriceClose","SDate:"&amp;TEXT(WORKDAY(TODAY(),-260),"yyyy-mm-dd")))/_xll.TR(Q37,"TR.PriceClose","SDate:"&amp;TEXT(WORKDAY(TODAY(),-260),"yyyy-mm-dd"))*100</f>
        <v>6.4980371809430562</v>
      </c>
      <c r="L37" s="40" cm="1">
        <f t="array" aca="1" ref="L37" ca="1">_xll.TR(T37,"TR.MIDPRICE","SDate:"&amp;TEXT(WORKDAY(TODAY(),-5),"yyyy-mm-dd"))</f>
        <v>6.7769500000000003</v>
      </c>
      <c r="M37" s="13" cm="1">
        <f t="array" aca="1" ref="M37" ca="1">_xll.TR(T37,"TR.MIDPRICE","SDate:"&amp;TEXT(WORKDAY(TODAY(),-14),"yyyy-mm-dd"))</f>
        <v>6.7939499999999997</v>
      </c>
      <c r="N37" s="13" cm="1">
        <f t="array" ref="N37">-_xll.TR(T37,"PCTCHG_3M")</f>
        <v>0.6</v>
      </c>
      <c r="O37" s="56" cm="1">
        <f t="array" ref="O37">-_xll.TR(T37,"PCTCHG_YTD")</f>
        <v>3.1</v>
      </c>
      <c r="P37" t="s">
        <v>77</v>
      </c>
      <c r="Q37" t="s">
        <v>121</v>
      </c>
      <c r="R37" cm="1">
        <f t="array" ref="R37">_xll.TR(Q37,"TR.PriceClose")</f>
        <v>3764.1547</v>
      </c>
      <c r="S37" cm="1">
        <f t="array" aca="1" ref="S37" ca="1">_xll.TR(Q37,"TR.PriceClose","SDate:"&amp;TEXT(WORKDAY(TODAY(),-5),"yyyy-mm-dd"))</f>
        <v>3996.1615999999999</v>
      </c>
      <c r="T37" t="s">
        <v>148</v>
      </c>
      <c r="U37" s="9" cm="1">
        <f t="array" ref="U37">_xll.TR(T37,"BID")</f>
        <v>6.7759999999999998</v>
      </c>
      <c r="V37" s="9" cm="1">
        <f t="array" aca="1" ref="V37" ca="1">_xll.TR(T37,"CF_CLOSE","SDate:"&amp;TEXT(WORKDAY(TODAY(),-5),"yyyy-mm-dd"))</f>
        <v>6.7725999999999997</v>
      </c>
      <c r="W37" s="19"/>
    </row>
    <row r="38" spans="1:23" ht="14" customHeight="1">
      <c r="A38" s="12" t="s">
        <v>42</v>
      </c>
      <c r="B38" s="50"/>
      <c r="C38" s="51">
        <f ca="1">'CDS from CapitalIQ'!C33</f>
        <v>24.990600000000001</v>
      </c>
      <c r="D38" s="25">
        <f ca="1">'CDS from CapitalIQ'!T33</f>
        <v>7.1500000000000341E-2</v>
      </c>
      <c r="E38" s="25">
        <f ca="1">'CDS from CapitalIQ'!V33</f>
        <v>0.10709999999999908</v>
      </c>
      <c r="F38" s="25">
        <f ca="1">'CDS from CapitalIQ'!W33</f>
        <v>-1.0458999999999996</v>
      </c>
      <c r="G38" s="41">
        <f ca="1">'CDS from CapitalIQ'!X33</f>
        <v>-9.522199999999998</v>
      </c>
      <c r="H38" s="42" cm="1">
        <f t="array" aca="1" ref="H38" ca="1">(_xll.TR(Q38,"TR.PriceClose")-_xll.TR(Q38,"TR.PriceClose","SDate:"&amp;TEXT(WORKDAY(TODAY(),-5),"yyyy-mm-dd")))/_xll.TR(Q38,"TR.PriceClose","SDate:"&amp;TEXT(WORKDAY(TODAY(),-5),"yyyy-mm-dd"))*100</f>
        <v>1.6013157328691754</v>
      </c>
      <c r="I38" s="13" cm="1">
        <f t="array" aca="1" ref="I38" ca="1">((_xll.TR(Q38,"TR.PriceClose")-_xll.TR(Q38,"TR.PriceClose","SDate:"&amp;TEXT(WORKDAY(TODAY(),-14),"yyyy-mm-dd")))/_xll.TR(Q38,"TR.PriceClose","SDate:"&amp;TEXT(WORKDAY(TODAY(),-14),"yyyy-mm-dd")))*100</f>
        <v>6.6686122358933257</v>
      </c>
      <c r="J38" s="13" cm="1">
        <f t="array" aca="1" ref="J38" ca="1">(_xll.TR(Q38,"TRDPRC_1")-_xll.TR(Q38,"TR.PriceClose","SDate:"&amp;TEXT(WORKDAY(TODAY(),-65),"yyyy-mm-dd")))/_xll.TR(Q38,"TR.PriceClose","SDate:"&amp;TEXT(WORKDAY(TODAY(),-65),"yyyy-mm-dd"))*100</f>
        <v>-6.1088296669040494</v>
      </c>
      <c r="K38" s="56" cm="1">
        <f t="array" aca="1" ref="K38" ca="1">(_xll.TR(Q38,"TR.PriceClose")-_xll.TR(Q38,"TR.PriceClose","SDate:"&amp;TEXT(WORKDAY(TODAY(),-260),"yyyy-mm-dd")))/_xll.TR(Q38,"TR.PriceClose","SDate:"&amp;TEXT(WORKDAY(TODAY(),-260),"yyyy-mm-dd"))*100</f>
        <v>-1.0610795443101946</v>
      </c>
      <c r="L38" s="40" cm="1">
        <f t="array" aca="1" ref="L38" ca="1">_xll.TR(T38,"TR.MIDPRICE","SDate:"&amp;TEXT(WORKDAY(TODAY(),-5),"yyyy-mm-dd"))</f>
        <v>7.8396999999999997</v>
      </c>
      <c r="M38" s="13" cm="1">
        <f t="array" aca="1" ref="M38" ca="1">_xll.TR(T38,"TR.MIDPRICE","SDate:"&amp;TEXT(WORKDAY(TODAY(),-14),"yyyy-mm-dd"))</f>
        <v>7.8406500000000001</v>
      </c>
      <c r="N38" s="13" cm="1">
        <f t="array" ref="N38">-_xll.TR(T38,"PCTCHG_3M")</f>
        <v>-0.11</v>
      </c>
      <c r="O38" s="56" cm="1">
        <f t="array" ref="O38">-_xll.TR(T38,"PCTCHG_YTD")</f>
        <v>-0.74</v>
      </c>
      <c r="P38" t="s">
        <v>78</v>
      </c>
      <c r="Q38" t="s">
        <v>122</v>
      </c>
      <c r="R38" cm="1">
        <f t="array" ref="R38">_xll.TR(Q38,"TR.PriceClose")</f>
        <v>24562.240000000002</v>
      </c>
      <c r="S38" cm="1">
        <f t="array" aca="1" ref="S38" ca="1">_xll.TR(Q38,"TR.PriceClose","SDate:"&amp;TEXT(WORKDAY(TODAY(),-5),"yyyy-mm-dd"))</f>
        <v>24175.119999999999</v>
      </c>
      <c r="T38" t="s">
        <v>149</v>
      </c>
      <c r="U38" s="9" cm="1">
        <f t="array" ref="U38">_xll.TR(T38,"BID")</f>
        <v>7.84</v>
      </c>
      <c r="V38" s="9" cm="1">
        <f t="array" aca="1" ref="V38" ca="1">_xll.TR(T38,"CF_CLOSE","SDate:"&amp;TEXT(WORKDAY(TODAY(),-5),"yyyy-mm-dd"))</f>
        <v>7.8396999999999997</v>
      </c>
      <c r="W38" s="19"/>
    </row>
    <row r="39" spans="1:23" ht="14" customHeight="1">
      <c r="A39" s="10" t="s">
        <v>43</v>
      </c>
      <c r="B39" s="49"/>
      <c r="C39" s="51">
        <f ca="1">'CDS from CapitalIQ'!C34</f>
        <v>0</v>
      </c>
      <c r="D39" s="25">
        <f ca="1">'CDS from CapitalIQ'!T34</f>
        <v>0</v>
      </c>
      <c r="E39" s="25">
        <f ca="1">'CDS from CapitalIQ'!V34</f>
        <v>0</v>
      </c>
      <c r="F39" s="25">
        <f ca="1">'CDS from CapitalIQ'!W34</f>
        <v>0</v>
      </c>
      <c r="G39" s="41">
        <f ca="1">'CDS from CapitalIQ'!X34</f>
        <v>-46.486499999999999</v>
      </c>
      <c r="H39" s="42" cm="1">
        <f t="array" aca="1" ref="H39" ca="1">(_xll.TR(Q39,"TR.PriceClose")-_xll.TR(Q39,"TR.PriceClose","SDate:"&amp;TEXT(WORKDAY(TODAY(),-5),"yyyy-mm-dd")))/_xll.TR(Q39,"TR.PriceClose","SDate:"&amp;TEXT(WORKDAY(TODAY(),-5),"yyyy-mm-dd"))*100</f>
        <v>0.75037331091555282</v>
      </c>
      <c r="I39" s="13" cm="1">
        <f t="array" aca="1" ref="I39" ca="1">((_xll.TR(Q39,"TR.PriceClose")-_xll.TR(Q39,"TR.PriceClose","SDate:"&amp;TEXT(WORKDAY(TODAY(),-14),"yyyy-mm-dd")))/_xll.TR(Q39,"TR.PriceClose","SDate:"&amp;TEXT(WORKDAY(TODAY(),-14),"yyyy-mm-dd")))*100</f>
        <v>1.8546985945355046</v>
      </c>
      <c r="J39" s="13" cm="1">
        <f t="array" aca="1" ref="J39" ca="1">(_xll.TR(Q39,"TRDPRC_1")-_xll.TR(Q39,"TR.PriceClose","SDate:"&amp;TEXT(WORKDAY(TODAY(),-65),"yyyy-mm-dd")))/_xll.TR(Q39,"TR.PriceClose","SDate:"&amp;TEXT(WORKDAY(TODAY(),-65),"yyyy-mm-dd"))*100</f>
        <v>-0.43581930436567967</v>
      </c>
      <c r="K39" s="56" cm="1">
        <f t="array" aca="1" ref="K39" ca="1">(_xll.TR(Q39,"TR.PriceClose")-_xll.TR(Q39,"TR.PriceClose","SDate:"&amp;TEXT(WORKDAY(TODAY(),-260),"yyyy-mm-dd")))/_xll.TR(Q39,"TR.PriceClose","SDate:"&amp;TEXT(WORKDAY(TODAY(),-260),"yyyy-mm-dd"))*100</f>
        <v>-4.4109345990892832</v>
      </c>
      <c r="L39" s="40" cm="1">
        <f t="array" aca="1" ref="L39" ca="1">_xll.TR(T39,"TR.MIDPRICE","SDate:"&amp;TEXT(WORKDAY(TODAY(),-5),"yyyy-mm-dd"))</f>
        <v>95.33</v>
      </c>
      <c r="M39" s="13" cm="1">
        <f t="array" aca="1" ref="M39" ca="1">_xll.TR(T39,"TR.MIDPRICE","SDate:"&amp;TEXT(WORKDAY(TODAY(),-14),"yyyy-mm-dd"))</f>
        <v>94.545000000000002</v>
      </c>
      <c r="N39" s="13" cm="1">
        <f t="array" ref="N39">-_xll.TR(T39,"PCTCHG_3M")</f>
        <v>-3.98</v>
      </c>
      <c r="O39" s="56" cm="1">
        <f t="array" ref="O39">-_xll.TR(T39,"PCTCHG_YTD")</f>
        <v>-7.16</v>
      </c>
      <c r="P39" t="s">
        <v>79</v>
      </c>
      <c r="Q39" t="s">
        <v>123</v>
      </c>
      <c r="R39" cm="1">
        <f t="array" ref="R39">_xll.TR(Q39,"TR.PriceClose")</f>
        <v>78151.45</v>
      </c>
      <c r="S39" cm="1">
        <f t="array" aca="1" ref="S39" ca="1">_xll.TR(Q39,"TR.PriceClose","SDate:"&amp;TEXT(WORKDAY(TODAY(),-5),"yyyy-mm-dd"))</f>
        <v>77569.39</v>
      </c>
      <c r="T39" t="s">
        <v>150</v>
      </c>
      <c r="U39" s="9" cm="1">
        <f t="array" ref="U39">_xll.TR(T39,"BID")</f>
        <v>96.28</v>
      </c>
      <c r="V39" s="9" cm="1">
        <f t="array" aca="1" ref="V39" ca="1">_xll.TR(T39,"CF_CLOSE","SDate:"&amp;TEXT(WORKDAY(TODAY(),-5),"yyyy-mm-dd"))</f>
        <v>96.344999999999999</v>
      </c>
      <c r="W39" s="19"/>
    </row>
    <row r="40" spans="1:23" ht="14" customHeight="1">
      <c r="A40" s="12" t="s">
        <v>44</v>
      </c>
      <c r="B40" s="50"/>
      <c r="C40" s="51">
        <f ca="1">'CDS from CapitalIQ'!C35</f>
        <v>26.485600000000002</v>
      </c>
      <c r="D40" s="25">
        <f ca="1">'CDS from CapitalIQ'!T35</f>
        <v>-3.0699999999999505E-2</v>
      </c>
      <c r="E40" s="25">
        <f ca="1">'CDS from CapitalIQ'!V35</f>
        <v>-0.15269999999999939</v>
      </c>
      <c r="F40" s="25">
        <f ca="1">'CDS from CapitalIQ'!W35</f>
        <v>-1.0335000000000001</v>
      </c>
      <c r="G40" s="41">
        <f ca="1">'CDS from CapitalIQ'!X35</f>
        <v>5.5230000000000032</v>
      </c>
      <c r="H40" s="42" cm="1">
        <f t="array" aca="1" ref="H40" ca="1">(_xll.TR(Q40,"TR.PriceClose")-_xll.TR(Q40,"TR.PriceClose","SDate:"&amp;TEXT(WORKDAY(TODAY(),-5),"yyyy-mm-dd")))/_xll.TR(Q40,"TR.PriceClose","SDate:"&amp;TEXT(WORKDAY(TODAY(),-5),"yyyy-mm-dd"))*100</f>
        <v>-6.442176542309662</v>
      </c>
      <c r="I40" s="13" cm="1">
        <f t="array" aca="1" ref="I40" ca="1">((_xll.TR(Q40,"TR.PriceClose")-_xll.TR(Q40,"TR.PriceClose","SDate:"&amp;TEXT(WORKDAY(TODAY(),-14),"yyyy-mm-dd")))/_xll.TR(Q40,"TR.PriceClose","SDate:"&amp;TEXT(WORKDAY(TODAY(),-14),"yyyy-mm-dd")))*100</f>
        <v>-7.668252382280154</v>
      </c>
      <c r="J40" s="13" cm="1">
        <f t="array" aca="1" ref="J40" ca="1">IFERROR(((_xll.TR(Q40,"TR.PriceClose")-_xll.TR(Q40,"TR.PriceClose","SDate:"&amp;EDATE(TODAY(),-3)))/_xll.TR(Q40,"TR.PriceClose","SDate:"&amp;EDATE(TODAY(),-3)))*100,"-")</f>
        <v>9.6881279296257095</v>
      </c>
      <c r="K40" s="56" cm="1">
        <f t="array" aca="1" ref="K40" ca="1">(_xll.TR(Q40,"TR.PriceClose")-_xll.TR(Q40,"TR.PriceClose","SDate:"&amp;TEXT(WORKDAY(TODAY(),-260),"yyyy-mm-dd")))/_xll.TR(Q40,"TR.PriceClose","SDate:"&amp;TEXT(WORKDAY(TODAY(),-260),"yyyy-mm-dd"))*100</f>
        <v>61.081249681371588</v>
      </c>
      <c r="L40" s="40" cm="1">
        <f t="array" aca="1" ref="L40" ca="1">_xll.TR(T40,"TR.MIDPRICE","SDate:"&amp;TEXT(WORKDAY(TODAY(),-5),"yyyy-mm-dd"))</f>
        <v>161.69499999999999</v>
      </c>
      <c r="M40" s="13" cm="1">
        <f t="array" aca="1" ref="M40" ca="1">_xll.TR(T40,"TR.MIDPRICE","SDate:"&amp;TEXT(WORKDAY(TODAY(),-14),"yyyy-mm-dd"))</f>
        <v>161.94499999999999</v>
      </c>
      <c r="N40" s="13" cm="1">
        <f t="array" ref="N40">-_xll.TR(T40,"PCTCHG_3M")</f>
        <v>-2.4300000000000002</v>
      </c>
      <c r="O40" s="56" cm="1">
        <f t="array" ref="O40">-_xll.TR(T40,"PCTCHG_YTD")</f>
        <v>-3.71</v>
      </c>
      <c r="P40" t="s">
        <v>80</v>
      </c>
      <c r="Q40" s="15" t="s">
        <v>124</v>
      </c>
      <c r="R40" cm="1">
        <f t="array" ref="R40">_xll.TR(Q40,"TR.PriceClose")</f>
        <v>64141.120000000003</v>
      </c>
      <c r="S40" cm="1">
        <f t="array" aca="1" ref="S40" ca="1">_xll.TR(Q40,"TR.PriceClose","SDate:"&amp;TEXT(WORKDAY(TODAY(),-5),"yyyy-mm-dd"))</f>
        <v>68557.73</v>
      </c>
      <c r="T40" t="s">
        <v>151</v>
      </c>
      <c r="U40" s="9" cm="1">
        <f t="array" ref="U40">_xll.TR(T40,"BID")</f>
        <v>162.44999999999999</v>
      </c>
      <c r="V40" s="9" cm="1">
        <f t="array" aca="1" ref="V40" ca="1">_xll.TR(T40,"CF_CLOSE","SDate:"&amp;TEXT(WORKDAY(TODAY(),-5),"yyyy-mm-dd"))</f>
        <v>162.38</v>
      </c>
      <c r="W40" s="19"/>
    </row>
    <row r="41" spans="1:23" ht="14" customHeight="1">
      <c r="A41" s="10" t="s">
        <v>45</v>
      </c>
      <c r="B41" s="49"/>
      <c r="C41" s="51">
        <f ca="1">'CDS from CapitalIQ'!C36</f>
        <v>36.674999999999997</v>
      </c>
      <c r="D41" s="25">
        <f ca="1">'CDS from CapitalIQ'!T36</f>
        <v>0.11779999999999546</v>
      </c>
      <c r="E41" s="25">
        <f ca="1">'CDS from CapitalIQ'!V36</f>
        <v>-0.73750000000000426</v>
      </c>
      <c r="F41" s="25">
        <f ca="1">'CDS from CapitalIQ'!W36</f>
        <v>-0.62170000000000414</v>
      </c>
      <c r="G41" s="41">
        <f ca="1">'CDS from CapitalIQ'!X36</f>
        <v>-6.0149000000000044</v>
      </c>
      <c r="H41" s="42" cm="1">
        <f t="array" aca="1" ref="H41" ca="1">(_xll.TR(Q41,"TR.PriceClose")-_xll.TR(Q41,"TR.PriceClose","SDate:"&amp;TEXT(WORKDAY(TODAY(),-5),"yyyy-mm-dd")))/_xll.TR(Q41,"TR.PriceClose","SDate:"&amp;TEXT(WORKDAY(TODAY(),-5),"yyyy-mm-dd"))*100</f>
        <v>1.8149678685655868</v>
      </c>
      <c r="I41" s="13" cm="1">
        <f t="array" aca="1" ref="I41" ca="1">((_xll.TR(Q41,"TR.PriceClose")-_xll.TR(Q41,"TR.PriceClose","SDate:"&amp;TEXT(WORKDAY(TODAY(),-14),"yyyy-mm-dd")))/_xll.TR(Q41,"TR.PriceClose","SDate:"&amp;TEXT(WORKDAY(TODAY(),-14),"yyyy-mm-dd")))*100</f>
        <v>3.3783337635286403</v>
      </c>
      <c r="J41" s="13" cm="1">
        <f t="array" aca="1" ref="J41" ca="1">(_xll.TR(Q41,"TRDPRC_1")-_xll.TR(Q41,"TR.PriceClose","SDate:"&amp;TEXT(WORKDAY(TODAY(),-65),"yyyy-mm-dd")))/_xll.TR(Q41,"TR.PriceClose","SDate:"&amp;TEXT(WORKDAY(TODAY(),-65),"yyyy-mm-dd"))*100</f>
        <v>2.1377882386253035</v>
      </c>
      <c r="K41" s="56" cm="1">
        <f t="array" aca="1" ref="K41" ca="1">(_xll.TR(Q41,"TR.PriceClose")-_xll.TR(Q41,"TR.PriceClose","SDate:"&amp;TEXT(WORKDAY(TODAY(),-260),"yyyy-mm-dd")))/_xll.TR(Q41,"TR.PriceClose","SDate:"&amp;TEXT(WORKDAY(TODAY(),-260),"yyyy-mm-dd"))*100</f>
        <v>12.866842305322912</v>
      </c>
      <c r="L41" s="40" cm="1">
        <f t="array" aca="1" ref="L41" ca="1">_xll.TR(T41,"TR.MIDPRICE","SDate:"&amp;TEXT(WORKDAY(TODAY(),-5),"yyyy-mm-dd"))</f>
        <v>4.07</v>
      </c>
      <c r="M41" s="13" cm="1">
        <f t="array" aca="1" ref="M41" ca="1">_xll.TR(T41,"TR.MIDPRICE","SDate:"&amp;TEXT(WORKDAY(TODAY(),-14),"yyyy-mm-dd"))</f>
        <v>4.0709999999999997</v>
      </c>
      <c r="N41" s="13" cm="1">
        <f t="array" ref="N41">-_xll.TR(T41,"PCTCHG_3M")</f>
        <v>-3.54</v>
      </c>
      <c r="O41" s="56" cm="1">
        <f t="array" ref="O41">-_xll.TR(T41,"PCTCHG_YTD")</f>
        <v>-0.84</v>
      </c>
      <c r="P41" t="s">
        <v>81</v>
      </c>
      <c r="Q41" t="s">
        <v>125</v>
      </c>
      <c r="R41" cm="1">
        <f t="array" ref="R41">_xll.TR(Q41,"TR.PriceClose")</f>
        <v>1722.19</v>
      </c>
      <c r="S41" cm="1">
        <f t="array" aca="1" ref="S41" ca="1">_xll.TR(Q41,"TR.PriceClose","SDate:"&amp;TEXT(WORKDAY(TODAY(),-5),"yyyy-mm-dd"))</f>
        <v>1691.49</v>
      </c>
      <c r="T41" t="s">
        <v>152</v>
      </c>
      <c r="U41" s="9" cm="1">
        <f t="array" ref="U41">_xll.TR(T41,"BID")</f>
        <v>4.09</v>
      </c>
      <c r="V41" s="9" cm="1">
        <f t="array" aca="1" ref="V41" ca="1">_xll.TR(T41,"CF_CLOSE","SDate:"&amp;TEXT(WORKDAY(TODAY(),-5),"yyyy-mm-dd"))</f>
        <v>4.07</v>
      </c>
      <c r="W41" s="19"/>
    </row>
    <row r="42" spans="1:23" ht="14" customHeight="1">
      <c r="A42" s="12" t="s">
        <v>46</v>
      </c>
      <c r="B42" s="50"/>
      <c r="C42" s="51">
        <f ca="1">'CDS from CapitalIQ'!C37</f>
        <v>15.0625</v>
      </c>
      <c r="D42" s="25">
        <f ca="1">'CDS from CapitalIQ'!T37</f>
        <v>6.1999999999999389E-2</v>
      </c>
      <c r="E42" s="25">
        <f ca="1">'CDS from CapitalIQ'!V37</f>
        <v>7.3000000000000398E-2</v>
      </c>
      <c r="F42" s="25">
        <f ca="1">'CDS from CapitalIQ'!W37</f>
        <v>-0.69050000000000011</v>
      </c>
      <c r="G42" s="41">
        <f ca="1">'CDS from CapitalIQ'!X37</f>
        <v>1.0269999999999992</v>
      </c>
      <c r="H42" s="42" cm="1">
        <f t="array" aca="1" ref="H42" ca="1">(_xll.TR(Q42,"TR.PriceClose")-_xll.TR(Q42,"TR.PriceClose","SDate:"&amp;TEXT(WORKDAY(TODAY(),-5),"yyyy-mm-dd")))/_xll.TR(Q42,"TR.PriceClose","SDate:"&amp;TEXT(WORKDAY(TODAY(),-5),"yyyy-mm-dd"))*100</f>
        <v>-0.66003320839683366</v>
      </c>
      <c r="I42" s="13" cm="1">
        <f t="array" aca="1" ref="I42" ca="1">((_xll.TR(Q42,"TR.PriceClose")-_xll.TR(Q42,"TR.PriceClose","SDate:"&amp;TEXT(WORKDAY(TODAY(),-14),"yyyy-mm-dd")))/_xll.TR(Q42,"TR.PriceClose","SDate:"&amp;TEXT(WORKDAY(TODAY(),-14),"yyyy-mm-dd")))*100</f>
        <v>1.1008773354516226</v>
      </c>
      <c r="J42" s="13" cm="1">
        <f t="array" aca="1" ref="J42" ca="1">IFERROR(((_xll.TR(Q42,"TR.PriceClose")-_xll.TR(Q42,"TR.PriceClose","SDate:"&amp;EDATE(TODAY(),-3)))/_xll.TR(Q42,"TR.PriceClose","SDate:"&amp;EDATE(TODAY(),-3)))*100,"-")</f>
        <v>6.1136694181704652</v>
      </c>
      <c r="K42" s="56" cm="1">
        <f t="array" aca="1" ref="K42" ca="1">(_xll.TR(Q42,"TR.PriceClose")-_xll.TR(Q42,"TR.PriceClose","SDate:"&amp;TEXT(WORKDAY(TODAY(),-260),"yyyy-mm-dd")))/_xll.TR(Q42,"TR.PriceClose","SDate:"&amp;TEXT(WORKDAY(TODAY(),-260),"yyyy-mm-dd"))*100</f>
        <v>6.321853358591353</v>
      </c>
      <c r="L42" s="40" cm="1">
        <f t="array" aca="1" ref="L42" ca="1">_xll.TR(T42,"TR.MIDPRICE","SDate:"&amp;TEXT(WORKDAY(TODAY(),-5),"yyyy-mm-dd"))</f>
        <v>0.57615000000000005</v>
      </c>
      <c r="M42" s="13" cm="1">
        <f t="array" aca="1" ref="M42" ca="1">_xll.TR(T42,"TR.MIDPRICE","SDate:"&amp;TEXT(WORKDAY(TODAY(),-14),"yyyy-mm-dd"))</f>
        <v>0.56505000000000005</v>
      </c>
      <c r="N42" s="13" cm="1">
        <f t="array" ref="N42">-_xll.TR(T42,"PCTCHG_3M")</f>
        <v>0.73</v>
      </c>
      <c r="O42" s="56" cm="1">
        <f t="array" ref="O42">-_xll.TR(T42,"PCTCHG_YTD")</f>
        <v>-1.46</v>
      </c>
      <c r="P42" t="s">
        <v>82</v>
      </c>
      <c r="Q42" t="s">
        <v>126</v>
      </c>
      <c r="R42" cm="1">
        <f t="array" ref="R42">_xll.TR(Q42,"TR.PriceClose")</f>
        <v>13694.68</v>
      </c>
      <c r="S42" cm="1">
        <f t="array" aca="1" ref="S42" ca="1">_xll.TR(Q42,"TR.PriceClose","SDate:"&amp;TEXT(WORKDAY(TODAY(),-5),"yyyy-mm-dd"))</f>
        <v>13785.67</v>
      </c>
      <c r="T42" t="s">
        <v>153</v>
      </c>
      <c r="U42" s="9" cm="1">
        <f t="array" ref="U42">_xll.TR(T42,"BID")</f>
        <v>0.58399999999999996</v>
      </c>
      <c r="V42" s="9" cm="1">
        <f t="array" aca="1" ref="V42" ca="1">_xll.TR(T42,"CF_CLOSE","SDate:"&amp;TEXT(WORKDAY(TODAY(),-5),"yyyy-mm-dd"))</f>
        <v>0.58399999999999996</v>
      </c>
      <c r="W42" s="19"/>
    </row>
    <row r="43" spans="1:23" ht="14" customHeight="1">
      <c r="A43" s="30" t="s">
        <v>47</v>
      </c>
      <c r="B43" s="49"/>
      <c r="C43" s="51">
        <f ca="1">'CDS from CapitalIQ'!C38</f>
        <v>0</v>
      </c>
      <c r="D43" s="25">
        <f ca="1">'CDS from CapitalIQ'!T38</f>
        <v>0</v>
      </c>
      <c r="E43" s="25">
        <f ca="1">'CDS from CapitalIQ'!V38</f>
        <v>0</v>
      </c>
      <c r="F43" s="25">
        <f ca="1">'CDS from CapitalIQ'!W38</f>
        <v>0</v>
      </c>
      <c r="G43" s="41">
        <f ca="1">'CDS from CapitalIQ'!X38</f>
        <v>0</v>
      </c>
      <c r="H43" s="42" cm="1">
        <f t="array" aca="1" ref="H43" ca="1">(_xll.TR(Q43,"TR.PriceClose")-_xll.TR(Q43,"TR.PriceClose","SDate:"&amp;TEXT(WORKDAY(TODAY(),-5),"yyyy-mm-dd")))/_xll.TR(Q43,"TR.PriceClose","SDate:"&amp;TEXT(WORKDAY(TODAY(),-5),"yyyy-mm-dd"))*100</f>
        <v>0</v>
      </c>
      <c r="I43" s="13" cm="1">
        <f t="array" aca="1" ref="I43" ca="1">((_xll.TR(Q43,"TR.PriceClose")-_xll.TR(Q43,"TR.PriceClose","SDate:"&amp;TEXT(WORKDAY(TODAY(),-14),"yyyy-mm-dd")))/_xll.TR(Q43,"TR.PriceClose","SDate:"&amp;TEXT(WORKDAY(TODAY(),-14),"yyyy-mm-dd")))*100</f>
        <v>0</v>
      </c>
      <c r="J43" s="13" cm="1">
        <f t="array" aca="1" ref="J43" ca="1">IFERROR(((_xll.TR(Q43,"TR.PriceClose")-_xll.TR(Q43,"TR.PriceClose","SDate:"&amp;EDATE(TODAY(),-3)))/_xll.TR(Q43,"TR.PriceClose","SDate:"&amp;EDATE(TODAY(),-3)))*100,"-")</f>
        <v>0</v>
      </c>
      <c r="K43" s="56" cm="1">
        <f t="array" aca="1" ref="K43" ca="1">(_xll.TR(Q43,"TR.PriceClose")-_xll.TR(Q43,"TR.PriceClose","SDate:"&amp;TEXT(WORKDAY(TODAY(),-260),"yyyy-mm-dd")))/_xll.TR(Q43,"TR.PriceClose","SDate:"&amp;TEXT(WORKDAY(TODAY(),-260),"yyyy-mm-dd"))*100</f>
        <v>0</v>
      </c>
      <c r="L43" s="40" cm="1">
        <f t="array" aca="1" ref="L43" ca="1">_xll.TR(T43,"TR.MIDPRICE","SDate:"&amp;TEXT(WORKDAY(TODAY(),-5),"yyyy-mm-dd"))</f>
        <v>77</v>
      </c>
      <c r="M43" s="13" cm="1">
        <f t="array" aca="1" ref="M43" ca="1">_xll.TR(T43,"TR.MIDPRICE","SDate:"&amp;TEXT(WORKDAY(TODAY(),-14),"yyyy-mm-dd"))</f>
        <v>77</v>
      </c>
      <c r="N43" s="13" cm="1">
        <f t="array" ref="N43">-_xll.TR(T43,"PCTCHG_3M")</f>
        <v>-2.89</v>
      </c>
      <c r="O43" s="56" cm="1">
        <f t="array" ref="O43">-_xll.TR(T43,"PCTCHG_YTD")</f>
        <v>0.7</v>
      </c>
      <c r="P43" t="s">
        <v>83</v>
      </c>
      <c r="Q43" t="s">
        <v>127</v>
      </c>
      <c r="R43" cm="1">
        <f t="array" ref="R43">_xll.TR(Q43,"TR.PriceClose")</f>
        <v>3215.91</v>
      </c>
      <c r="S43" cm="1">
        <f t="array" aca="1" ref="S43" ca="1">_xll.TR(Q43,"TR.PriceClose","SDate:"&amp;TEXT(WORKDAY(TODAY(),-5),"yyyy-mm-dd"))</f>
        <v>3215.91</v>
      </c>
      <c r="T43" t="s">
        <v>154</v>
      </c>
      <c r="U43" s="9" cm="1">
        <f t="array" ref="U43">_xll.TR(T43,"BID")</f>
        <v>78.195499999999996</v>
      </c>
      <c r="V43" s="9" cm="1">
        <f t="array" aca="1" ref="V43" ca="1">_xll.TR(T43,"CF_CLOSE","SDate:"&amp;TEXT(WORKDAY(TODAY(),-5),"yyyy-mm-dd"))</f>
        <v>78.095500000000001</v>
      </c>
      <c r="W43" s="19"/>
    </row>
    <row r="44" spans="1:23" ht="14" customHeight="1">
      <c r="A44" s="12" t="s">
        <v>48</v>
      </c>
      <c r="B44" s="50"/>
      <c r="C44" s="51">
        <f ca="1">'CDS from CapitalIQ'!C39</f>
        <v>0</v>
      </c>
      <c r="D44" s="25">
        <f ca="1">'CDS from CapitalIQ'!T39</f>
        <v>0</v>
      </c>
      <c r="E44" s="25">
        <f ca="1">'CDS from CapitalIQ'!V39</f>
        <v>0</v>
      </c>
      <c r="F44" s="25">
        <f ca="1">'CDS from CapitalIQ'!W39</f>
        <v>-2.3334000000000001</v>
      </c>
      <c r="G44" s="41">
        <f ca="1">'CDS from CapitalIQ'!X39</f>
        <v>-2.1778</v>
      </c>
      <c r="H44" s="42" cm="1">
        <f t="array" aca="1" ref="H44" ca="1">(_xll.TR(Q44,"TR.PriceClose")-_xll.TR(Q44,"TR.PriceClose","SDate:"&amp;TEXT(WORKDAY(TODAY(),-5),"yyyy-mm-dd")))/_xll.TR(Q44,"TR.PriceClose","SDate:"&amp;TEXT(WORKDAY(TODAY(),-5),"yyyy-mm-dd"))*100</f>
        <v>1.28151917342105</v>
      </c>
      <c r="I44" s="13" cm="1">
        <f t="array" aca="1" ref="I44" ca="1">((_xll.TR(Q44,"TR.PriceClose")-_xll.TR(Q44,"TR.PriceClose","SDate:"&amp;TEXT(WORKDAY(TODAY(),-14),"yyyy-mm-dd")))/_xll.TR(Q44,"TR.PriceClose","SDate:"&amp;TEXT(WORKDAY(TODAY(),-14),"yyyy-mm-dd")))*100</f>
        <v>6.347588192944567</v>
      </c>
      <c r="J44" s="13" cm="1">
        <f t="array" aca="1" ref="J44" ca="1">(_xll.TR(Q44,"TRDPRC_1")-_xll.TR(Q44,"TR.PriceClose","SDate:"&amp;TEXT(WORKDAY(TODAY(),-65),"yyyy-mm-dd")))/_xll.TR(Q44,"TR.PriceClose","SDate:"&amp;TEXT(WORKDAY(TODAY(),-65),"yyyy-mm-dd"))*100</f>
        <v>10.234236974107279</v>
      </c>
      <c r="K44" s="56" cm="1">
        <f t="array" aca="1" ref="K44" ca="1">(_xll.TR(Q44,"TR.PriceClose")-_xll.TR(Q44,"TR.PriceClose","SDate:"&amp;TEXT(WORKDAY(TODAY(),-260),"yyyy-mm-dd")))/_xll.TR(Q44,"TR.PriceClose","SDate:"&amp;TEXT(WORKDAY(TODAY(),-260),"yyyy-mm-dd"))*100</f>
        <v>32.220551378446117</v>
      </c>
      <c r="L44" s="40" cm="1">
        <f t="array" aca="1" ref="L44" ca="1">_xll.TR(T44,"TR.MIDPRICE","SDate:"&amp;TEXT(WORKDAY(TODAY(),-5),"yyyy-mm-dd"))</f>
        <v>1.29175</v>
      </c>
      <c r="M44" s="13" cm="1">
        <f t="array" aca="1" ref="M44" ca="1">_xll.TR(T44,"TR.MIDPRICE","SDate:"&amp;TEXT(WORKDAY(TODAY(),-14),"yyyy-mm-dd"))</f>
        <v>1.29295</v>
      </c>
      <c r="N44" s="13" cm="1">
        <f t="array" ref="N44">-_xll.TR(T44,"PCTCHG_3M")</f>
        <v>-1.73</v>
      </c>
      <c r="O44" s="56" cm="1">
        <f t="array" ref="O44">-_xll.TR(T44,"PCTCHG_YTD")</f>
        <v>-0.47</v>
      </c>
      <c r="P44" t="s">
        <v>84</v>
      </c>
      <c r="Q44" t="s">
        <v>128</v>
      </c>
      <c r="R44" cm="1">
        <f t="array" ref="R44">_xll.TR(Q44,"TR.PriceClose")</f>
        <v>5539.38</v>
      </c>
      <c r="S44" cm="1">
        <f t="array" aca="1" ref="S44" ca="1">_xll.TR(Q44,"TR.PriceClose","SDate:"&amp;TEXT(WORKDAY(TODAY(),-5),"yyyy-mm-dd"))</f>
        <v>5469.29</v>
      </c>
      <c r="T44" t="s">
        <v>155</v>
      </c>
      <c r="U44" s="9" cm="1">
        <f t="array" ref="U44">_xll.TR(T44,"BID")</f>
        <v>1.2915000000000001</v>
      </c>
      <c r="V44" s="9" cm="1">
        <f t="array" aca="1" ref="V44" ca="1">_xll.TR(T44,"CF_CLOSE","SDate:"&amp;TEXT(WORKDAY(TODAY(),-5),"yyyy-mm-dd"))</f>
        <v>1.2897000000000001</v>
      </c>
      <c r="W44" s="19"/>
    </row>
    <row r="45" spans="1:23" ht="14" customHeight="1">
      <c r="A45" s="10" t="s">
        <v>49</v>
      </c>
      <c r="B45" s="49"/>
      <c r="C45" s="51">
        <f ca="1">'CDS from CapitalIQ'!C40</f>
        <v>22.418299999999999</v>
      </c>
      <c r="D45" s="25">
        <f ca="1">'CDS from CapitalIQ'!T40</f>
        <v>0.31169999999999831</v>
      </c>
      <c r="E45" s="25">
        <f ca="1">'CDS from CapitalIQ'!V40</f>
        <v>0.11789999999999878</v>
      </c>
      <c r="F45" s="25">
        <f ca="1">'CDS from CapitalIQ'!W40</f>
        <v>-6.958400000000001</v>
      </c>
      <c r="G45" s="41">
        <f ca="1">'CDS from CapitalIQ'!X40</f>
        <v>-1.6925000000000026</v>
      </c>
      <c r="H45" s="42" cm="1">
        <f t="array" aca="1" ref="H45" ca="1">(_xll.TR(Q45,"TR.PriceClose")-_xll.TR(Q45,"TR.PriceClose","SDate:"&amp;TEXT(WORKDAY(TODAY(),-5),"yyyy-mm-dd")))/_xll.TR(Q45,"TR.PriceClose","SDate:"&amp;TEXT(WORKDAY(TODAY(),-5),"yyyy-mm-dd"))*100</f>
        <v>-8.7659879560295995</v>
      </c>
      <c r="I45" s="13" cm="1">
        <f t="array" aca="1" ref="I45" ca="1">((_xll.TR(Q45,"TR.PriceClose")-_xll.TR(Q45,"TR.PriceClose","SDate:"&amp;TEXT(WORKDAY(TODAY(),-14),"yyyy-mm-dd")))/_xll.TR(Q45,"TR.PriceClose","SDate:"&amp;TEXT(WORKDAY(TODAY(),-14),"yyyy-mm-dd")))*100</f>
        <v>-18.750632843537247</v>
      </c>
      <c r="J45" s="13" cm="1">
        <f t="array" aca="1" ref="J45" ca="1">(_xll.TR(Q45,"TRDPRC_1")-_xll.TR(Q45,"TR.PriceClose","SDate:"&amp;TEXT(WORKDAY(TODAY(),-65),"yyyy-mm-dd")))/_xll.TR(Q45,"TR.PriceClose","SDate:"&amp;TEXT(WORKDAY(TODAY(),-65),"yyyy-mm-dd"))*100</f>
        <v>10.153231953901217</v>
      </c>
      <c r="K45" s="56" cm="1">
        <f t="array" aca="1" ref="K45" ca="1">(_xll.TR(Q45,"TR.PriceClose")-_xll.TR(Q45,"TR.PriceClose","SDate:"&amp;TEXT(WORKDAY(TODAY(),-260),"yyyy-mm-dd")))/_xll.TR(Q45,"TR.PriceClose","SDate:"&amp;TEXT(WORKDAY(TODAY(),-260),"yyyy-mm-dd"))*100</f>
        <v>113.941350095826</v>
      </c>
      <c r="L45" s="40" cm="1">
        <f t="array" aca="1" ref="L45" ca="1">_xll.TR(T45,"TR.MIDPRICE","SDate:"&amp;TEXT(WORKDAY(TODAY(),-5),"yyyy-mm-dd"))</f>
        <v>1499.15</v>
      </c>
      <c r="M45" s="13" cm="1">
        <f t="array" aca="1" ref="M45" ca="1">_xll.TR(T45,"TR.MIDPRICE","SDate:"&amp;TEXT(WORKDAY(TODAY(),-14),"yyyy-mm-dd"))</f>
        <v>1540.95</v>
      </c>
      <c r="N45" s="13" cm="1">
        <f t="array" ref="N45">-_xll.TR(T45,"PCTCHG_3M")</f>
        <v>-1.59</v>
      </c>
      <c r="O45" s="56" cm="1">
        <f t="array" ref="O45">-_xll.TR(T45,"PCTCHG_YTD")</f>
        <v>-3.44</v>
      </c>
      <c r="P45" t="s">
        <v>85</v>
      </c>
      <c r="Q45" t="s">
        <v>129</v>
      </c>
      <c r="R45" cm="1">
        <f t="array" ref="R45">_xll.TR(Q45,"TR.PriceClose")</f>
        <v>6820.6</v>
      </c>
      <c r="S45" cm="1">
        <f t="array" aca="1" ref="S45" ca="1">_xll.TR(Q45,"TR.PriceClose","SDate:"&amp;TEXT(WORKDAY(TODAY(),-5),"yyyy-mm-dd"))</f>
        <v>7475.94</v>
      </c>
      <c r="T45" t="s">
        <v>156</v>
      </c>
      <c r="U45" s="9" cm="1">
        <f t="array" ref="U45">_xll.TR(T45,"BID")</f>
        <v>1490.08</v>
      </c>
      <c r="V45" s="9" cm="1">
        <f t="array" aca="1" ref="V45" ca="1">_xll.TR(T45,"CF_CLOSE","SDate:"&amp;TEXT(WORKDAY(TODAY(),-5),"yyyy-mm-dd"))</f>
        <v>1479.37</v>
      </c>
      <c r="W45" s="19"/>
    </row>
    <row r="46" spans="1:23" ht="14" customHeight="1">
      <c r="A46" s="12" t="s">
        <v>50</v>
      </c>
      <c r="B46" s="50"/>
      <c r="C46" s="51">
        <f>'CDS from CapitalIQ'!C41</f>
        <v>0</v>
      </c>
      <c r="D46" s="25">
        <f>'CDS from CapitalIQ'!T41</f>
        <v>0</v>
      </c>
      <c r="E46" s="25">
        <f>'CDS from CapitalIQ'!V41</f>
        <v>0</v>
      </c>
      <c r="F46" s="25">
        <f>'CDS from CapitalIQ'!W41</f>
        <v>0</v>
      </c>
      <c r="G46" s="41">
        <f>'CDS from CapitalIQ'!X41</f>
        <v>0</v>
      </c>
      <c r="H46" s="42" cm="1">
        <f t="array" aca="1" ref="H46" ca="1">(_xll.TR(Q46,"TR.PriceClose")-_xll.TR(Q46,"TR.PriceClose","SDate:"&amp;TEXT(WORKDAY(TODAY(),-5),"yyyy-mm-dd")))/_xll.TR(Q46,"TR.PriceClose","SDate:"&amp;TEXT(WORKDAY(TODAY(),-5),"yyyy-mm-dd"))*100</f>
        <v>-5.9163555810534003</v>
      </c>
      <c r="I46" s="13" cm="1">
        <f t="array" aca="1" ref="I46" ca="1">((_xll.TR(Q46,"TR.PriceClose")-_xll.TR(Q46,"TR.PriceClose","SDate:"&amp;TEXT(WORKDAY(TODAY(),-14),"yyyy-mm-dd")))/_xll.TR(Q46,"TR.PriceClose","SDate:"&amp;TEXT(WORKDAY(TODAY(),-14),"yyyy-mm-dd")))*100</f>
        <v>-5.1747448327663053</v>
      </c>
      <c r="J46" s="13" cm="1">
        <f t="array" aca="1" ref="J46" ca="1">(_xll.TR(Q46,"TRDPRC_1")-_xll.TR(Q46,"TR.PriceClose","SDate:"&amp;TEXT(WORKDAY(TODAY(),-65),"yyyy-mm-dd")))/_xll.TR(Q46,"TR.PriceClose","SDate:"&amp;TEXT(WORKDAY(TODAY(),-65),"yyyy-mm-dd"))*100</f>
        <v>15.940864582818223</v>
      </c>
      <c r="K46" s="56" cm="1">
        <f t="array" aca="1" ref="K46" ca="1">(_xll.TR(Q46,"TR.PriceClose")-_xll.TR(Q46,"TR.PriceClose","SDate:"&amp;TEXT(WORKDAY(TODAY(),-260),"yyyy-mm-dd")))/_xll.TR(Q46,"TR.PriceClose","SDate:"&amp;TEXT(WORKDAY(TODAY(),-260),"yyyy-mm-dd"))*100</f>
        <v>82.487417210612918</v>
      </c>
      <c r="L46" s="40" cm="1">
        <f t="array" aca="1" ref="L46" ca="1">_xll.TR(T46,"TR.MIDPRICE","SDate:"&amp;TEXT(WORKDAY(TODAY(),-5),"yyyy-mm-dd"))</f>
        <v>32.115000000000002</v>
      </c>
      <c r="M46" s="13" cm="1">
        <f t="array" aca="1" ref="M46" ca="1">_xll.TR(T46,"TR.MIDPRICE","SDate:"&amp;TEXT(WORKDAY(TODAY(),-14),"yyyy-mm-dd"))</f>
        <v>31.864999999999998</v>
      </c>
      <c r="N46" s="13" cm="1">
        <f t="array" ref="N46">-_xll.TR(T46,"PCTCHG_3M")</f>
        <v>-2.9</v>
      </c>
      <c r="O46" s="56" cm="1">
        <f t="array" ref="O46">-_xll.TR(T46,"PCTCHG_YTD")</f>
        <v>-3.33</v>
      </c>
      <c r="P46" t="s">
        <v>86</v>
      </c>
      <c r="Q46" s="15" t="s">
        <v>130</v>
      </c>
      <c r="R46" cm="1">
        <f t="array" ref="R46">_xll.TR(Q46,"TR.PriceClose")</f>
        <v>42671.27</v>
      </c>
      <c r="S46" cm="1">
        <f t="array" aca="1" ref="S46" ca="1">_xll.TR(Q46,"TR.PriceClose","SDate:"&amp;TEXT(WORKDAY(TODAY(),-5),"yyyy-mm-dd"))</f>
        <v>45354.61</v>
      </c>
      <c r="T46" t="s">
        <v>157</v>
      </c>
      <c r="U46" s="9" cm="1">
        <f t="array" ref="U46">_xll.TR(T46,"BID")</f>
        <v>32.375999999999998</v>
      </c>
      <c r="V46" s="9" cm="1">
        <f t="array" aca="1" ref="V46" ca="1">_xll.TR(T46,"CF_CLOSE","SDate:"&amp;TEXT(WORKDAY(TODAY(),-5),"yyyy-mm-dd"))</f>
        <v>32.256999999999998</v>
      </c>
    </row>
    <row r="47" spans="1:23" ht="14" customHeight="1">
      <c r="A47" s="10" t="s">
        <v>51</v>
      </c>
      <c r="B47" s="49"/>
      <c r="C47" s="51">
        <f ca="1">'CDS from CapitalIQ'!C42</f>
        <v>41.8125</v>
      </c>
      <c r="D47" s="25">
        <f ca="1">'CDS from CapitalIQ'!T42</f>
        <v>0.70609999999999928</v>
      </c>
      <c r="E47" s="25">
        <f ca="1">'CDS from CapitalIQ'!V42</f>
        <v>1.8125</v>
      </c>
      <c r="F47" s="25">
        <f ca="1">'CDS from CapitalIQ'!W42</f>
        <v>-7.0168000000000035</v>
      </c>
      <c r="G47" s="41">
        <f ca="1">'CDS from CapitalIQ'!X42</f>
        <v>-1.3160999999999987</v>
      </c>
      <c r="H47" s="42" cm="1">
        <f t="array" aca="1" ref="H47" ca="1">(_xll.TR(Q47,"TR.PriceClose")-_xll.TR(Q47,"TR.PriceClose","SDate:"&amp;TEXT(WORKDAY(TODAY(),-5),"yyyy-mm-dd")))/_xll.TR(Q47,"TR.PriceClose","SDate:"&amp;TEXT(WORKDAY(TODAY(),-5),"yyyy-mm-dd"))*100</f>
        <v>1.0785976380623483</v>
      </c>
      <c r="I47" s="13" cm="1">
        <f t="array" aca="1" ref="I47" ca="1">((_xll.TR(Q47,"TR.PriceClose")-_xll.TR(Q47,"TR.PriceClose","SDate:"&amp;TEXT(WORKDAY(TODAY(),-14),"yyyy-mm-dd")))/_xll.TR(Q47,"TR.PriceClose","SDate:"&amp;TEXT(WORKDAY(TODAY(),-14),"yyyy-mm-dd")))*100</f>
        <v>3.8806953942489919</v>
      </c>
      <c r="J47" s="13" cm="1">
        <f t="array" aca="1" ref="J47" ca="1">(_xll.TR(Q47,"TRDPRC_1")-_xll.TR(Q47,"TR.PriceClose","SDate:"&amp;TEXT(WORKDAY(TODAY(),-65),"yyyy-mm-dd")))/_xll.TR(Q47,"TR.PriceClose","SDate:"&amp;TEXT(WORKDAY(TODAY(),-65),"yyyy-mm-dd"))*100</f>
        <v>10.562919491382502</v>
      </c>
      <c r="K47" s="56" cm="1">
        <f t="array" aca="1" ref="K47" ca="1">(_xll.TR(Q47,"TR.PriceClose")-_xll.TR(Q47,"TR.PriceClose","SDate:"&amp;TEXT(WORKDAY(TODAY(),-260),"yyyy-mm-dd")))/_xll.TR(Q47,"TR.PriceClose","SDate:"&amp;TEXT(WORKDAY(TODAY(),-260),"yyyy-mm-dd"))*100</f>
        <v>35.841800792322104</v>
      </c>
      <c r="L47" s="40" cm="1">
        <f t="array" aca="1" ref="L47" ca="1">_xll.TR(T47,"TR.MIDPRICE","SDate:"&amp;TEXT(WORKDAY(TODAY(),-5),"yyyy-mm-dd"))</f>
        <v>33.29</v>
      </c>
      <c r="M47" s="13" cm="1">
        <f t="array" aca="1" ref="M47" ca="1">_xll.TR(T47,"TR.MIDPRICE","SDate:"&amp;TEXT(WORKDAY(TODAY(),-14),"yyyy-mm-dd"))</f>
        <v>33.270000000000003</v>
      </c>
      <c r="N47" s="13" cm="1">
        <f t="array" ref="N47">-_xll.TR(T47,"PCTCHG_3M")</f>
        <v>-5.42</v>
      </c>
      <c r="O47" s="56" cm="1">
        <f t="array" ref="O47">-_xll.TR(T47,"PCTCHG_YTD")</f>
        <v>-6.83</v>
      </c>
      <c r="P47" t="s">
        <v>87</v>
      </c>
      <c r="Q47" t="s">
        <v>131</v>
      </c>
      <c r="R47" cm="1">
        <f t="array" ref="R47">_xll.TR(Q47,"TR.PriceClose")</f>
        <v>1639.04</v>
      </c>
      <c r="S47" cm="1">
        <f t="array" aca="1" ref="S47" ca="1">_xll.TR(Q47,"TR.PriceClose","SDate:"&amp;TEXT(WORKDAY(TODAY(),-5),"yyyy-mm-dd"))</f>
        <v>1621.55</v>
      </c>
      <c r="T47" t="s">
        <v>158</v>
      </c>
      <c r="U47" s="9" cm="1">
        <f t="array" ref="U47">_xll.TR(T47,"BID")</f>
        <v>33.630000000000003</v>
      </c>
      <c r="V47" s="9" cm="1">
        <f t="array" aca="1" ref="V47" ca="1">_xll.TR(T47,"CF_CLOSE","SDate:"&amp;TEXT(WORKDAY(TODAY(),-5),"yyyy-mm-dd"))</f>
        <v>33.57</v>
      </c>
      <c r="W47" s="19"/>
    </row>
    <row r="48" spans="1:23" ht="14" customHeight="1">
      <c r="A48" s="66" t="s">
        <v>52</v>
      </c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U48" s="9"/>
      <c r="V48" s="9"/>
    </row>
    <row r="49" spans="1:22" ht="14" customHeight="1">
      <c r="A49" s="5" t="s">
        <v>53</v>
      </c>
      <c r="B49" s="6"/>
      <c r="C49" s="7">
        <f ca="1">'CDS from CapitalIQ'!C44</f>
        <v>125.64</v>
      </c>
      <c r="D49" s="29">
        <f ca="1">'CDS from CapitalIQ'!T44</f>
        <v>2.3021999999999991</v>
      </c>
      <c r="E49" s="29">
        <f ca="1">'CDS from CapitalIQ'!V44</f>
        <v>-0.31910000000000593</v>
      </c>
      <c r="F49" s="29">
        <f ca="1">'CDS from CapitalIQ'!W44</f>
        <v>-20.028599999999997</v>
      </c>
      <c r="G49" s="44">
        <f ca="1">'CDS from CapitalIQ'!X44</f>
        <v>-69.166900000000012</v>
      </c>
      <c r="H49" s="43">
        <f ca="1">(R49-S49)/S49*100</f>
        <v>-0.7117640561099926</v>
      </c>
      <c r="I49" s="8" cm="1">
        <f t="array" aca="1" ref="I49" ca="1">((_xll.TR(Q49,"TR.PriceClose")-_xll.TR(Q49,"TR.PriceClose","SDate:"&amp;TEXT(WORKDAY(TODAY(),-14),"yyyy-mm-dd")))/_xll.TR(Q49,"TR.PriceClose","SDate:"&amp;TEXT(WORKDAY(TODAY(),-14),"yyyy-mm-dd")))*100</f>
        <v>-0.63617560449015997</v>
      </c>
      <c r="J49" s="8" cm="1">
        <f t="array" aca="1" ref="J49" ca="1">(_xll.TR(Q49,"TRDPRC_1")-_xll.TR(Q49,"TR.PriceClose","SDate:"&amp;TEXT(WORKDAY(TODAY(),-65),"yyyy-mm-dd")))/_xll.TR(Q49,"TR.PriceClose","SDate:"&amp;TEXT(WORKDAY(TODAY(),-65),"yyyy-mm-dd"))*100</f>
        <v>-9.6325861322001085</v>
      </c>
      <c r="K49" s="57" cm="1">
        <f t="array" aca="1" ref="K49" ca="1">(_xll.TR(Q49,"TRDPRC_1")-_xll.TR(Q49,"TR.PriceClose","SDate:"&amp;TEXT(WORKDAY(TODAY(),-260),"yyyy-mm-dd")))/_xll.TR(Q49,"TR.PriceClose","SDate:"&amp;TEXT(WORKDAY(TODAY(),-260),"yyyy-mm-dd"))*100</f>
        <v>11.027635129911133</v>
      </c>
      <c r="L49" s="58" cm="1">
        <f t="array" aca="1" ref="L49" ca="1">_xll.TR(T49,"TR.MIDPRICE","SDate:"&amp;TEXT(WORKDAY(TODAY(),-5),"yyyy-mm-dd"))</f>
        <v>16.361699999999999</v>
      </c>
      <c r="M49" s="8" cm="1">
        <f t="array" aca="1" ref="M49" ca="1">_xll.TR(T49,"TR.MIDPRICE","SDate:"&amp;TEXT(WORKDAY(TODAY(),-14),"yyyy-mm-dd"))</f>
        <v>16.422750000000001</v>
      </c>
      <c r="N49" s="8" cm="1">
        <f t="array" ref="N49">-_xll.TR(T49,"PCTCHG_3M")</f>
        <v>-1.43</v>
      </c>
      <c r="O49" s="61" cm="1">
        <f t="array" ref="O49">-_xll.TR(T49,"PCTCHG_YTD")</f>
        <v>0.2</v>
      </c>
      <c r="P49" t="s">
        <v>88</v>
      </c>
      <c r="Q49" t="s">
        <v>132</v>
      </c>
      <c r="R49" cm="1">
        <f t="array" ref="R49">_xll.TR(Q49,"TR.PriceClose")</f>
        <v>109569.92</v>
      </c>
      <c r="S49" cm="1">
        <f t="array" aca="1" ref="S49" ca="1">_xll.TR(Q49,"TR.PriceClose","SDate:"&amp;TEXT(WORKDAY(TODAY(),-5),"yyyy-mm-dd"))</f>
        <v>110355.39</v>
      </c>
      <c r="T49" t="s">
        <v>159</v>
      </c>
      <c r="U49" s="9" cm="1">
        <f t="array" ref="U49">_xll.TR(T49,"BID")</f>
        <v>16.5291</v>
      </c>
      <c r="V49" s="9" cm="1">
        <f t="array" aca="1" ref="V49" ca="1">_xll.TR(T49,"CF_CLOSE","SDate:"&amp;TEXT(WORKDAY(TODAY(),-5),"yyyy-mm-dd"))</f>
        <v>16.399999999999999</v>
      </c>
    </row>
    <row r="51" spans="1:22">
      <c r="A51" s="62" t="s">
        <v>54</v>
      </c>
      <c r="B51" s="63"/>
      <c r="C51" s="63"/>
      <c r="D51" s="63"/>
      <c r="E51" s="63"/>
      <c r="F51" s="63"/>
      <c r="G51" s="63"/>
      <c r="H51" s="63"/>
    </row>
    <row r="52" spans="1:22">
      <c r="J52" s="34"/>
      <c r="K52" s="35"/>
    </row>
  </sheetData>
  <mergeCells count="12">
    <mergeCell ref="A51:H51"/>
    <mergeCell ref="A5:B5"/>
    <mergeCell ref="A1:O1"/>
    <mergeCell ref="A48:O48"/>
    <mergeCell ref="A6:B6"/>
    <mergeCell ref="C3:G3"/>
    <mergeCell ref="A12:O12"/>
    <mergeCell ref="A7:O7"/>
    <mergeCell ref="A35:O35"/>
    <mergeCell ref="A26:O26"/>
    <mergeCell ref="H3:K3"/>
    <mergeCell ref="L3:O3"/>
  </mergeCells>
  <conditionalFormatting sqref="D13">
    <cfRule type="expression" dxfId="68" priority="95" stopIfTrue="1">
      <formula>E13&lt;=-3</formula>
    </cfRule>
    <cfRule type="expression" dxfId="67" priority="96" stopIfTrue="1">
      <formula>E13&gt;=3</formula>
    </cfRule>
  </conditionalFormatting>
  <conditionalFormatting sqref="D8:E11">
    <cfRule type="expression" dxfId="66" priority="63" stopIfTrue="1">
      <formula>D8&gt;3</formula>
    </cfRule>
    <cfRule type="expression" dxfId="65" priority="62" stopIfTrue="1">
      <formula>D8&lt;=-3</formula>
    </cfRule>
  </conditionalFormatting>
  <conditionalFormatting sqref="D27:E34">
    <cfRule type="expression" dxfId="64" priority="61" stopIfTrue="1">
      <formula>D27&gt;3</formula>
    </cfRule>
    <cfRule type="expression" dxfId="63" priority="60" stopIfTrue="1">
      <formula>D27&lt;=-3</formula>
    </cfRule>
  </conditionalFormatting>
  <conditionalFormatting sqref="D36:E47">
    <cfRule type="expression" dxfId="62" priority="54" stopIfTrue="1">
      <formula>D36&lt;=-3</formula>
    </cfRule>
    <cfRule type="expression" dxfId="61" priority="55" stopIfTrue="1">
      <formula>D36&gt;3</formula>
    </cfRule>
  </conditionalFormatting>
  <conditionalFormatting sqref="E13:E25">
    <cfRule type="expression" dxfId="60" priority="49" stopIfTrue="1">
      <formula>E13&gt;3</formula>
    </cfRule>
    <cfRule type="expression" dxfId="59" priority="48" stopIfTrue="1">
      <formula>E13&lt;=-3</formula>
    </cfRule>
  </conditionalFormatting>
  <conditionalFormatting sqref="F8:F11">
    <cfRule type="expression" dxfId="58" priority="53" stopIfTrue="1">
      <formula>F8&gt;15</formula>
    </cfRule>
    <cfRule type="expression" dxfId="57" priority="52" stopIfTrue="1">
      <formula>F8&lt;=-15</formula>
    </cfRule>
  </conditionalFormatting>
  <conditionalFormatting sqref="F13:F25">
    <cfRule type="expression" dxfId="56" priority="46" stopIfTrue="1">
      <formula>F13&gt;15</formula>
    </cfRule>
    <cfRule type="expression" dxfId="55" priority="45" stopIfTrue="1">
      <formula>F13&lt;=-15</formula>
    </cfRule>
  </conditionalFormatting>
  <conditionalFormatting sqref="F27:F34">
    <cfRule type="expression" dxfId="54" priority="44" stopIfTrue="1">
      <formula>F27&gt;15</formula>
    </cfRule>
    <cfRule type="expression" dxfId="53" priority="43" stopIfTrue="1">
      <formula>F27&lt;=-15</formula>
    </cfRule>
  </conditionalFormatting>
  <conditionalFormatting sqref="F36:F47">
    <cfRule type="expression" dxfId="52" priority="41" stopIfTrue="1">
      <formula>F36&lt;=-15</formula>
    </cfRule>
    <cfRule type="expression" dxfId="51" priority="42" stopIfTrue="1">
      <formula>F36&gt;15</formula>
    </cfRule>
  </conditionalFormatting>
  <conditionalFormatting sqref="G8:G11">
    <cfRule type="expression" dxfId="50" priority="40" stopIfTrue="1">
      <formula>G8&gt;20</formula>
    </cfRule>
    <cfRule type="expression" dxfId="49" priority="39" stopIfTrue="1">
      <formula>G8&lt;=-20</formula>
    </cfRule>
  </conditionalFormatting>
  <conditionalFormatting sqref="G13:G25">
    <cfRule type="expression" dxfId="48" priority="38" stopIfTrue="1">
      <formula>G13&gt;20</formula>
    </cfRule>
    <cfRule type="expression" dxfId="47" priority="37" stopIfTrue="1">
      <formula>G13&lt;=-20</formula>
    </cfRule>
  </conditionalFormatting>
  <conditionalFormatting sqref="G27:G34">
    <cfRule type="expression" dxfId="46" priority="36" stopIfTrue="1">
      <formula>G27&gt;20</formula>
    </cfRule>
    <cfRule type="expression" dxfId="45" priority="35" stopIfTrue="1">
      <formula>G27&lt;=-20</formula>
    </cfRule>
  </conditionalFormatting>
  <conditionalFormatting sqref="G36:G47">
    <cfRule type="expression" dxfId="44" priority="33" stopIfTrue="1">
      <formula>G36&lt;=-20</formula>
    </cfRule>
    <cfRule type="expression" dxfId="43" priority="34" stopIfTrue="1">
      <formula>G36&gt;20</formula>
    </cfRule>
  </conditionalFormatting>
  <conditionalFormatting sqref="H8:H11">
    <cfRule type="expression" dxfId="42" priority="32" stopIfTrue="1">
      <formula>H36&lt;=-3</formula>
    </cfRule>
    <cfRule type="expression" dxfId="41" priority="31" stopIfTrue="1">
      <formula>H36&gt;=3</formula>
    </cfRule>
  </conditionalFormatting>
  <conditionalFormatting sqref="H13:H25">
    <cfRule type="expression" dxfId="40" priority="30" stopIfTrue="1">
      <formula>H13&lt;=-3</formula>
    </cfRule>
    <cfRule type="expression" dxfId="39" priority="29" stopIfTrue="1">
      <formula>H13&gt;=3</formula>
    </cfRule>
  </conditionalFormatting>
  <conditionalFormatting sqref="H27:H34">
    <cfRule type="expression" dxfId="38" priority="28" stopIfTrue="1">
      <formula>H27&lt;=-3</formula>
    </cfRule>
    <cfRule type="expression" dxfId="37" priority="27" stopIfTrue="1">
      <formula>H27&gt;=3</formula>
    </cfRule>
  </conditionalFormatting>
  <conditionalFormatting sqref="H36:H47">
    <cfRule type="expression" dxfId="36" priority="25" stopIfTrue="1">
      <formula>H36&gt;=3</formula>
    </cfRule>
    <cfRule type="expression" dxfId="35" priority="26" stopIfTrue="1">
      <formula>H36&lt;=-3</formula>
    </cfRule>
  </conditionalFormatting>
  <conditionalFormatting sqref="I8:I11">
    <cfRule type="expression" dxfId="34" priority="24" stopIfTrue="1">
      <formula>I8&lt;=-5</formula>
    </cfRule>
    <cfRule type="expression" dxfId="33" priority="23" stopIfTrue="1">
      <formula>I8&gt;=5</formula>
    </cfRule>
  </conditionalFormatting>
  <conditionalFormatting sqref="I13:I25">
    <cfRule type="expression" dxfId="32" priority="22" stopIfTrue="1">
      <formula>I13&lt;=-5</formula>
    </cfRule>
    <cfRule type="expression" dxfId="31" priority="21" stopIfTrue="1">
      <formula>I13&gt;=5</formula>
    </cfRule>
  </conditionalFormatting>
  <conditionalFormatting sqref="I27:I34">
    <cfRule type="expression" dxfId="30" priority="20" stopIfTrue="1">
      <formula>I27&lt;=-5</formula>
    </cfRule>
    <cfRule type="expression" dxfId="29" priority="19" stopIfTrue="1">
      <formula>I27&gt;=5</formula>
    </cfRule>
  </conditionalFormatting>
  <conditionalFormatting sqref="I36:I47">
    <cfRule type="expression" dxfId="28" priority="17" stopIfTrue="1">
      <formula>I36&gt;=5</formula>
    </cfRule>
    <cfRule type="expression" dxfId="27" priority="18" stopIfTrue="1">
      <formula>I36&lt;=-5</formula>
    </cfRule>
  </conditionalFormatting>
  <conditionalFormatting sqref="J8:J11">
    <cfRule type="expression" dxfId="26" priority="16" stopIfTrue="1">
      <formula>J8&lt;=-15</formula>
    </cfRule>
    <cfRule type="expression" dxfId="25" priority="15" stopIfTrue="1">
      <formula>J8&gt;=15</formula>
    </cfRule>
  </conditionalFormatting>
  <conditionalFormatting sqref="J13:J25">
    <cfRule type="expression" dxfId="24" priority="14" stopIfTrue="1">
      <formula>J13&lt;=-15</formula>
    </cfRule>
    <cfRule type="expression" dxfId="23" priority="13" stopIfTrue="1">
      <formula>J13&gt;=15</formula>
    </cfRule>
  </conditionalFormatting>
  <conditionalFormatting sqref="J27:J34">
    <cfRule type="expression" dxfId="22" priority="12" stopIfTrue="1">
      <formula>J27&lt;=-15</formula>
    </cfRule>
    <cfRule type="expression" dxfId="21" priority="11" stopIfTrue="1">
      <formula>J27&gt;=15</formula>
    </cfRule>
  </conditionalFormatting>
  <conditionalFormatting sqref="J36:J47">
    <cfRule type="expression" dxfId="20" priority="9" stopIfTrue="1">
      <formula>J36&gt;=15</formula>
    </cfRule>
    <cfRule type="expression" dxfId="19" priority="10" stopIfTrue="1">
      <formula>J36&lt;=-15</formula>
    </cfRule>
  </conditionalFormatting>
  <conditionalFormatting sqref="K8:K11">
    <cfRule type="expression" dxfId="18" priority="7" stopIfTrue="1">
      <formula>K8&gt;=30</formula>
    </cfRule>
    <cfRule type="expression" dxfId="17" priority="8" stopIfTrue="1">
      <formula>K8&lt;=-30</formula>
    </cfRule>
  </conditionalFormatting>
  <conditionalFormatting sqref="K13:K25">
    <cfRule type="expression" dxfId="16" priority="5" stopIfTrue="1">
      <formula>K13&gt;=30</formula>
    </cfRule>
    <cfRule type="expression" dxfId="15" priority="6" stopIfTrue="1">
      <formula>K13&lt;=-30</formula>
    </cfRule>
  </conditionalFormatting>
  <conditionalFormatting sqref="K27:K34">
    <cfRule type="expression" dxfId="14" priority="3" stopIfTrue="1">
      <formula>K27&gt;=30</formula>
    </cfRule>
    <cfRule type="expression" dxfId="13" priority="4" stopIfTrue="1">
      <formula>K27&lt;=-30</formula>
    </cfRule>
  </conditionalFormatting>
  <conditionalFormatting sqref="K36:K47">
    <cfRule type="expression" dxfId="12" priority="2" stopIfTrue="1">
      <formula>K36&lt;=-30</formula>
    </cfRule>
    <cfRule type="expression" dxfId="11" priority="1" stopIfTrue="1">
      <formula>K36&gt;=30</formula>
    </cfRule>
  </conditionalFormatting>
  <conditionalFormatting sqref="L8:O11">
    <cfRule type="expression" dxfId="10" priority="79" stopIfTrue="1">
      <formula>L8&lt;=-4</formula>
    </cfRule>
    <cfRule type="expression" dxfId="9" priority="80" stopIfTrue="1">
      <formula>L8&gt;=4</formula>
    </cfRule>
    <cfRule type="expression" dxfId="8" priority="81" stopIfTrue="1">
      <formula>AND(L8&gt;=2,L8&lt;4)</formula>
    </cfRule>
  </conditionalFormatting>
  <conditionalFormatting sqref="L13:O25">
    <cfRule type="expression" dxfId="7" priority="73" stopIfTrue="1">
      <formula>L13&lt;=-4</formula>
    </cfRule>
    <cfRule type="expression" dxfId="6" priority="74" stopIfTrue="1">
      <formula>L13&gt;=4</formula>
    </cfRule>
    <cfRule type="expression" dxfId="5" priority="75" stopIfTrue="1">
      <formula>AND(L13&gt;=2,L13&lt;4)</formula>
    </cfRule>
  </conditionalFormatting>
  <conditionalFormatting sqref="L27:O34">
    <cfRule type="expression" dxfId="4" priority="70" stopIfTrue="1">
      <formula>L27&lt;=-4</formula>
    </cfRule>
    <cfRule type="expression" dxfId="3" priority="71" stopIfTrue="1">
      <formula>L27&gt;=4</formula>
    </cfRule>
    <cfRule type="expression" dxfId="2" priority="72" stopIfTrue="1">
      <formula>AND(L27&gt;=2,L27&lt;4)</formula>
    </cfRule>
  </conditionalFormatting>
  <pageMargins left="0.75" right="0.75" top="1" bottom="1" header="0.5" footer="0.5"/>
  <pageSetup orientation="portrait" r:id="rId1"/>
  <headerFooter>
    <oddHeader>&amp;R&amp;"Aptos"&amp;10&amp;K000000 Category/Catégorie: Non-Sensitive/Non-Délicat&amp;1#_x000D_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2FB4E-5C62-40CA-B116-40D75029CB1A}">
  <dimension ref="A1:Z85"/>
  <sheetViews>
    <sheetView workbookViewId="0">
      <selection activeCell="C6" sqref="C6"/>
    </sheetView>
  </sheetViews>
  <sheetFormatPr defaultColWidth="9.1796875" defaultRowHeight="14.5"/>
  <cols>
    <col min="1" max="1" width="27.54296875" customWidth="1"/>
    <col min="2" max="2" width="13.81640625" customWidth="1"/>
    <col min="3" max="3" width="14.54296875" customWidth="1"/>
    <col min="4" max="8" width="10.54296875" customWidth="1"/>
    <col min="9" max="9" width="10.81640625" customWidth="1"/>
    <col min="10" max="10" width="11.453125" customWidth="1"/>
    <col min="11" max="11" width="10.54296875" customWidth="1"/>
    <col min="12" max="12" width="11.453125" customWidth="1"/>
    <col min="13" max="13" width="13.453125" customWidth="1"/>
    <col min="14" max="14" width="11.453125" customWidth="1"/>
    <col min="15" max="17" width="10.54296875" bestFit="1" customWidth="1"/>
    <col min="18" max="18" width="10.54296875" customWidth="1"/>
    <col min="19" max="19" width="10.54296875" bestFit="1" customWidth="1"/>
  </cols>
  <sheetData>
    <row r="1" spans="1:26">
      <c r="A1" s="14" t="s">
        <v>4</v>
      </c>
      <c r="B1" s="14" t="s">
        <v>162</v>
      </c>
    </row>
    <row r="2" spans="1:26">
      <c r="A2" s="14" t="s">
        <v>163</v>
      </c>
      <c r="C2" s="20">
        <f ca="1">TODAY()</f>
        <v>46220</v>
      </c>
      <c r="D2" s="20">
        <f ca="1">TODAY() - 1</f>
        <v>46219</v>
      </c>
      <c r="E2" s="20">
        <f ca="1">TODAY() - 2</f>
        <v>46218</v>
      </c>
      <c r="F2" s="20">
        <f ca="1">TODAY() - 3</f>
        <v>46217</v>
      </c>
      <c r="G2" s="20">
        <f ca="1">TODAY() - 4</f>
        <v>46216</v>
      </c>
      <c r="H2" s="20">
        <f ca="1">TODAY() - 5</f>
        <v>46215</v>
      </c>
      <c r="I2" s="20">
        <f ca="1">TODAY() - 6</f>
        <v>46214</v>
      </c>
      <c r="J2" s="20">
        <f ca="1">TODAY() - 7</f>
        <v>46213</v>
      </c>
      <c r="K2" s="20">
        <f ca="1">TODAY() - 8</f>
        <v>46212</v>
      </c>
      <c r="L2" s="20">
        <f ca="1">TODAY() - 9</f>
        <v>46211</v>
      </c>
      <c r="M2" s="20">
        <f ca="1">TODAY() - 10</f>
        <v>46210</v>
      </c>
      <c r="N2" s="20">
        <f ca="1">TODAY() - 11</f>
        <v>46209</v>
      </c>
      <c r="O2" s="20">
        <f ca="1">TODAY() - 12</f>
        <v>46208</v>
      </c>
      <c r="P2" s="20">
        <f ca="1">TODAY() - 13</f>
        <v>46207</v>
      </c>
      <c r="Q2" s="20">
        <f ca="1">TODAY() - 14</f>
        <v>46206</v>
      </c>
      <c r="R2" s="20">
        <f ca="1">EDATE(TODAY(), -3)</f>
        <v>46129</v>
      </c>
      <c r="S2" s="20">
        <f ca="1">EDATE(TODAY(), -12)</f>
        <v>45855</v>
      </c>
      <c r="T2" t="s">
        <v>201</v>
      </c>
      <c r="U2" t="s">
        <v>202</v>
      </c>
      <c r="V2" t="s">
        <v>203</v>
      </c>
      <c r="W2" t="s">
        <v>204</v>
      </c>
      <c r="X2" t="s">
        <v>205</v>
      </c>
      <c r="Y2" t="s">
        <v>206</v>
      </c>
    </row>
    <row r="3" spans="1:26">
      <c r="A3" t="s">
        <v>12</v>
      </c>
      <c r="B3" s="19" t="s">
        <v>164</v>
      </c>
      <c r="C3">
        <f ca="1">_xll.ciqfunctions.udf.CIQ($B3,"IQ_CDS_mid",C$2)</f>
        <v>123.6443</v>
      </c>
      <c r="D3">
        <f ca="1">_xll.ciqfunctions.udf.CIQ($B3,"IQ_CDS_mid",D$2)</f>
        <v>123.6443</v>
      </c>
      <c r="E3">
        <f ca="1">_xll.ciqfunctions.udf.CIQ($B3,"IQ_CDS_mid",E$2)</f>
        <v>122.6678</v>
      </c>
      <c r="F3">
        <f ca="1">_xll.ciqfunctions.udf.CIQ($B3,"IQ_CDS_mid",F$2)</f>
        <v>123.6118</v>
      </c>
      <c r="G3">
        <f ca="1">_xll.ciqfunctions.udf.CIQ($B3,"IQ_CDS_mid",G$2)</f>
        <v>124.732</v>
      </c>
      <c r="H3">
        <f ca="1">_xll.ciqfunctions.udf.CIQ($B3,"IQ_CDS_mid",H$2)</f>
        <v>123.66070000000001</v>
      </c>
      <c r="I3">
        <f ca="1">_xll.ciqfunctions.udf.CIQ($B3,"IQ_CDS_mid",I$2)</f>
        <v>123.66070000000001</v>
      </c>
      <c r="J3">
        <f ca="1">_xll.ciqfunctions.udf.CIQ($B3,"IQ_CDS_mid",J$2)</f>
        <v>123.66070000000001</v>
      </c>
      <c r="K3">
        <f ca="1">_xll.ciqfunctions.udf.CIQ($B3,"IQ_CDS_mid",K$2)</f>
        <v>124.8763</v>
      </c>
      <c r="L3">
        <f ca="1">_xll.ciqfunctions.udf.CIQ($B3,"IQ_CDS_mid",L$2)</f>
        <v>126.8395</v>
      </c>
      <c r="M3">
        <f ca="1">_xll.ciqfunctions.udf.CIQ($B3,"IQ_CDS_mid",M$2)</f>
        <v>126.53830000000001</v>
      </c>
      <c r="N3">
        <f ca="1">_xll.ciqfunctions.udf.CIQ($B3,"IQ_CDS_mid",N$2)</f>
        <v>124.89700000000001</v>
      </c>
      <c r="O3">
        <f ca="1">_xll.ciqfunctions.udf.CIQ($B3,"IQ_CDS_mid",O$2)</f>
        <v>125.36669999999999</v>
      </c>
      <c r="P3">
        <f ca="1">_xll.ciqfunctions.udf.CIQ($B3,"IQ_CDS_mid",P$2)</f>
        <v>125.36669999999999</v>
      </c>
      <c r="Q3">
        <f ca="1">_xll.ciqfunctions.udf.CIQ($B3,"IQ_CDS_mid",Q$2)</f>
        <v>125.36669999999999</v>
      </c>
      <c r="R3">
        <f ca="1">_xll.ciqfunctions.udf.CIQ($B3,"IQ_CDS_mid",R$2)</f>
        <v>124.54900000000001</v>
      </c>
      <c r="S3">
        <f ca="1">_xll.ciqfunctions.udf.CIQ($B3,"IQ_CDS_mid",S$2)</f>
        <v>147.3357</v>
      </c>
      <c r="T3">
        <f ca="1">C3-H3</f>
        <v>-1.6400000000004411E-2</v>
      </c>
      <c r="U3">
        <f ca="1">C3-M3</f>
        <v>-2.8940000000000055</v>
      </c>
      <c r="V3">
        <f ca="1">C3-Q3</f>
        <v>-1.7223999999999933</v>
      </c>
      <c r="W3">
        <f ca="1">C3-R3</f>
        <v>-0.90470000000000539</v>
      </c>
      <c r="X3">
        <f t="shared" ref="X3:X40" ca="1" si="0">C3-S3</f>
        <v>-23.691400000000002</v>
      </c>
      <c r="Y3" t="s">
        <v>207</v>
      </c>
      <c r="Z3" t="s">
        <v>208</v>
      </c>
    </row>
    <row r="4" spans="1:26">
      <c r="A4" t="s">
        <v>13</v>
      </c>
      <c r="B4" s="19" t="s">
        <v>165</v>
      </c>
      <c r="C4">
        <f ca="1">_xll.ciqfunctions.udf.CIQ($B4,"IQ_CDS_mid",C$2)</f>
        <v>11.132099999999999</v>
      </c>
      <c r="D4">
        <f ca="1">_xll.ciqfunctions.udf.CIQ($B4,"IQ_CDS_mid",D$2)</f>
        <v>11.132099999999999</v>
      </c>
      <c r="E4">
        <f ca="1">_xll.ciqfunctions.udf.CIQ($B4,"IQ_CDS_mid",E$2)</f>
        <v>11.144399999999999</v>
      </c>
      <c r="F4">
        <f ca="1">_xll.ciqfunctions.udf.CIQ($B4,"IQ_CDS_mid",F$2)</f>
        <v>11.210100000000001</v>
      </c>
      <c r="G4">
        <f ca="1">_xll.ciqfunctions.udf.CIQ($B4,"IQ_CDS_mid",G$2)</f>
        <v>11.200799999999999</v>
      </c>
      <c r="H4">
        <f ca="1">_xll.ciqfunctions.udf.CIQ($B4,"IQ_CDS_mid",H$2)</f>
        <v>11.2279</v>
      </c>
      <c r="I4">
        <f ca="1">_xll.ciqfunctions.udf.CIQ($B4,"IQ_CDS_mid",I$2)</f>
        <v>11.2279</v>
      </c>
      <c r="J4">
        <f ca="1">_xll.ciqfunctions.udf.CIQ($B4,"IQ_CDS_mid",J$2)</f>
        <v>11.2279</v>
      </c>
      <c r="K4">
        <f ca="1">_xll.ciqfunctions.udf.CIQ($B4,"IQ_CDS_mid",K$2)</f>
        <v>11.2675</v>
      </c>
      <c r="L4">
        <f ca="1">_xll.ciqfunctions.udf.CIQ($B4,"IQ_CDS_mid",L$2)</f>
        <v>11.2979</v>
      </c>
      <c r="M4">
        <f ca="1">_xll.ciqfunctions.udf.CIQ($B4,"IQ_CDS_mid",M$2)</f>
        <v>11.269500000000001</v>
      </c>
      <c r="N4">
        <f ca="1">_xll.ciqfunctions.udf.CIQ($B4,"IQ_CDS_mid",N$2)</f>
        <v>11.3787</v>
      </c>
      <c r="O4">
        <f ca="1">_xll.ciqfunctions.udf.CIQ($B4,"IQ_CDS_mid",O$2)</f>
        <v>11.348000000000001</v>
      </c>
      <c r="P4">
        <f ca="1">_xll.ciqfunctions.udf.CIQ($B4,"IQ_CDS_mid",P$2)</f>
        <v>11.348000000000001</v>
      </c>
      <c r="Q4">
        <f ca="1">_xll.ciqfunctions.udf.CIQ($B4,"IQ_CDS_mid",Q$2)</f>
        <v>11.348000000000001</v>
      </c>
      <c r="R4">
        <f ca="1">_xll.ciqfunctions.udf.CIQ($B4,"IQ_CDS_mid",R$2)</f>
        <v>12.741099999999999</v>
      </c>
      <c r="S4">
        <f ca="1">_xll.ciqfunctions.udf.CIQ($B4,"IQ_CDS_mid",S$2)</f>
        <v>16.212399999999999</v>
      </c>
      <c r="T4">
        <f ca="1">C4-H4</f>
        <v>-9.5800000000000551E-2</v>
      </c>
      <c r="U4">
        <f ca="1">C4-M4</f>
        <v>-0.1374000000000013</v>
      </c>
      <c r="V4">
        <f ca="1">C4-Q4</f>
        <v>-0.21590000000000131</v>
      </c>
      <c r="W4">
        <f ca="1">C4-R4</f>
        <v>-1.609</v>
      </c>
      <c r="X4">
        <f t="shared" ca="1" si="0"/>
        <v>-5.0802999999999994</v>
      </c>
      <c r="Y4">
        <v>150</v>
      </c>
      <c r="Z4">
        <v>10</v>
      </c>
    </row>
    <row r="5" spans="1:26">
      <c r="A5" t="s">
        <v>14</v>
      </c>
      <c r="B5" s="19" t="s">
        <v>166</v>
      </c>
      <c r="C5">
        <f ca="1">_xll.ciqfunctions.udf.CIQ($B5,"IQ_CDS_mid",C$2)</f>
        <v>86.100300000000004</v>
      </c>
      <c r="D5">
        <f ca="1">_xll.ciqfunctions.udf.CIQ($B5,"IQ_CDS_mid",D$2)</f>
        <v>86.100300000000004</v>
      </c>
      <c r="E5">
        <f ca="1">_xll.ciqfunctions.udf.CIQ($B5,"IQ_CDS_mid",E$2)</f>
        <v>85.436800000000005</v>
      </c>
      <c r="F5">
        <f ca="1">_xll.ciqfunctions.udf.CIQ($B5,"IQ_CDS_mid",F$2)</f>
        <v>85.4435</v>
      </c>
      <c r="G5">
        <f ca="1">_xll.ciqfunctions.udf.CIQ($B5,"IQ_CDS_mid",G$2)</f>
        <v>85.848500000000001</v>
      </c>
      <c r="H5">
        <f ca="1">_xll.ciqfunctions.udf.CIQ($B5,"IQ_CDS_mid",H$2)</f>
        <v>84.654700000000005</v>
      </c>
      <c r="I5">
        <f ca="1">_xll.ciqfunctions.udf.CIQ($B5,"IQ_CDS_mid",I$2)</f>
        <v>84.654700000000005</v>
      </c>
      <c r="J5">
        <f ca="1">_xll.ciqfunctions.udf.CIQ($B5,"IQ_CDS_mid",J$2)</f>
        <v>84.654700000000005</v>
      </c>
      <c r="K5">
        <f ca="1">_xll.ciqfunctions.udf.CIQ($B5,"IQ_CDS_mid",K$2)</f>
        <v>85.111500000000007</v>
      </c>
      <c r="L5">
        <f ca="1">_xll.ciqfunctions.udf.CIQ($B5,"IQ_CDS_mid",L$2)</f>
        <v>86.049000000000007</v>
      </c>
      <c r="M5">
        <f ca="1">_xll.ciqfunctions.udf.CIQ($B5,"IQ_CDS_mid",M$2)</f>
        <v>85.496499999999997</v>
      </c>
      <c r="N5">
        <f ca="1">_xll.ciqfunctions.udf.CIQ($B5,"IQ_CDS_mid",N$2)</f>
        <v>84.8095</v>
      </c>
      <c r="O5">
        <f ca="1">_xll.ciqfunctions.udf.CIQ($B5,"IQ_CDS_mid",O$2)</f>
        <v>86.382400000000004</v>
      </c>
      <c r="P5">
        <f ca="1">_xll.ciqfunctions.udf.CIQ($B5,"IQ_CDS_mid",P$2)</f>
        <v>86.382400000000004</v>
      </c>
      <c r="Q5">
        <f ca="1">_xll.ciqfunctions.udf.CIQ($B5,"IQ_CDS_mid",Q$2)</f>
        <v>86.382400000000004</v>
      </c>
      <c r="R5">
        <f ca="1">_xll.ciqfunctions.udf.CIQ($B5,"IQ_CDS_mid",R$2)</f>
        <v>87.245900000000006</v>
      </c>
      <c r="S5">
        <f ca="1">_xll.ciqfunctions.udf.CIQ($B5,"IQ_CDS_mid",S$2)</f>
        <v>109.9978</v>
      </c>
      <c r="T5">
        <f ca="1">C5-H5</f>
        <v>1.4455999999999989</v>
      </c>
      <c r="U5">
        <f ca="1">C5-M5</f>
        <v>0.60380000000000678</v>
      </c>
      <c r="V5">
        <f ca="1">C5-Q5</f>
        <v>-0.2820999999999998</v>
      </c>
      <c r="W5">
        <f ca="1">C5-R5</f>
        <v>-1.1456000000000017</v>
      </c>
      <c r="X5">
        <f t="shared" ca="1" si="0"/>
        <v>-23.897499999999994</v>
      </c>
    </row>
    <row r="6" spans="1:26">
      <c r="A6" t="s">
        <v>15</v>
      </c>
      <c r="B6" s="19" t="s">
        <v>167</v>
      </c>
      <c r="C6">
        <f ca="1">_xll.ciqfunctions.udf.CIQ($B6,"IQ_CDS_mid",C$2)</f>
        <v>41.938299999999998</v>
      </c>
      <c r="D6">
        <f ca="1">_xll.ciqfunctions.udf.CIQ($B6,"IQ_CDS_mid",D$2)</f>
        <v>41.938299999999998</v>
      </c>
      <c r="E6">
        <f ca="1">_xll.ciqfunctions.udf.CIQ($B6,"IQ_CDS_mid",E$2)</f>
        <v>41.75</v>
      </c>
      <c r="F6">
        <f ca="1">_xll.ciqfunctions.udf.CIQ($B6,"IQ_CDS_mid",F$2)</f>
        <v>41.75</v>
      </c>
      <c r="G6">
        <f ca="1">_xll.ciqfunctions.udf.CIQ($B6,"IQ_CDS_mid",G$2)</f>
        <v>41.75</v>
      </c>
      <c r="H6">
        <f ca="1">_xll.ciqfunctions.udf.CIQ($B6,"IQ_CDS_mid",H$2)</f>
        <v>41.833300000000001</v>
      </c>
      <c r="I6">
        <f ca="1">_xll.ciqfunctions.udf.CIQ($B6,"IQ_CDS_mid",I$2)</f>
        <v>41.833300000000001</v>
      </c>
      <c r="J6">
        <f ca="1">_xll.ciqfunctions.udf.CIQ($B6,"IQ_CDS_mid",J$2)</f>
        <v>41.833300000000001</v>
      </c>
      <c r="K6">
        <f ca="1">_xll.ciqfunctions.udf.CIQ($B6,"IQ_CDS_mid",K$2)</f>
        <v>42</v>
      </c>
      <c r="L6">
        <f ca="1">_xll.ciqfunctions.udf.CIQ($B6,"IQ_CDS_mid",L$2)</f>
        <v>41.948099999999997</v>
      </c>
      <c r="M6">
        <f ca="1">_xll.ciqfunctions.udf.CIQ($B6,"IQ_CDS_mid",M$2)</f>
        <v>41.821399999999997</v>
      </c>
      <c r="N6">
        <f ca="1">_xll.ciqfunctions.udf.CIQ($B6,"IQ_CDS_mid",N$2)</f>
        <v>41.874400000000001</v>
      </c>
      <c r="O6">
        <f ca="1">_xll.ciqfunctions.udf.CIQ($B6,"IQ_CDS_mid",O$2)</f>
        <v>42.0715</v>
      </c>
      <c r="P6">
        <f ca="1">_xll.ciqfunctions.udf.CIQ($B6,"IQ_CDS_mid",P$2)</f>
        <v>42.0715</v>
      </c>
      <c r="Q6">
        <f ca="1">_xll.ciqfunctions.udf.CIQ($B6,"IQ_CDS_mid",Q$2)</f>
        <v>42.0715</v>
      </c>
      <c r="R6">
        <f ca="1">_xll.ciqfunctions.udf.CIQ($B6,"IQ_CDS_mid",R$2)</f>
        <v>38.333300000000001</v>
      </c>
      <c r="S6">
        <f ca="1">_xll.ciqfunctions.udf.CIQ($B6,"IQ_CDS_mid",S$2)</f>
        <v>39.8003</v>
      </c>
      <c r="T6">
        <f ca="1">C6-H6</f>
        <v>0.10499999999999687</v>
      </c>
      <c r="U6">
        <f ca="1">C6-M6</f>
        <v>0.11690000000000111</v>
      </c>
      <c r="V6">
        <f ca="1">C6-Q6</f>
        <v>-0.13320000000000221</v>
      </c>
      <c r="W6">
        <f ca="1">C6-R6</f>
        <v>3.6049999999999969</v>
      </c>
      <c r="X6">
        <f t="shared" ca="1" si="0"/>
        <v>2.1379999999999981</v>
      </c>
    </row>
    <row r="7" spans="1:26">
      <c r="A7" s="14" t="s">
        <v>16</v>
      </c>
      <c r="X7">
        <f t="shared" si="0"/>
        <v>0</v>
      </c>
    </row>
    <row r="8" spans="1:26">
      <c r="A8" t="s">
        <v>17</v>
      </c>
      <c r="B8" s="19" t="s">
        <v>168</v>
      </c>
      <c r="C8">
        <f ca="1">_xll.ciqfunctions.udf.CIQ($B8,"IQ_CDS_mid",C$2)</f>
        <v>10.9</v>
      </c>
      <c r="D8">
        <f ca="1">_xll.ciqfunctions.udf.CIQ($B8,"IQ_CDS_mid",D$2)</f>
        <v>10.9</v>
      </c>
      <c r="E8">
        <f ca="1">_xll.ciqfunctions.udf.CIQ($B8,"IQ_CDS_mid",E$2)</f>
        <v>11</v>
      </c>
      <c r="F8">
        <f ca="1">_xll.ciqfunctions.udf.CIQ($B8,"IQ_CDS_mid",F$2)</f>
        <v>11</v>
      </c>
      <c r="G8">
        <f ca="1">_xll.ciqfunctions.udf.CIQ($B8,"IQ_CDS_mid",G$2)</f>
        <v>10.9998</v>
      </c>
      <c r="H8">
        <f ca="1">_xll.ciqfunctions.udf.CIQ($B8,"IQ_CDS_mid",H$2)</f>
        <v>10.999000000000001</v>
      </c>
      <c r="I8">
        <f ca="1">_xll.ciqfunctions.udf.CIQ($B8,"IQ_CDS_mid",I$2)</f>
        <v>10.999000000000001</v>
      </c>
      <c r="J8">
        <f ca="1">_xll.ciqfunctions.udf.CIQ($B8,"IQ_CDS_mid",J$2)</f>
        <v>10.999000000000001</v>
      </c>
      <c r="K8">
        <f ca="1">_xll.ciqfunctions.udf.CIQ($B8,"IQ_CDS_mid",K$2)</f>
        <v>10.996</v>
      </c>
      <c r="L8">
        <f ca="1">_xll.ciqfunctions.udf.CIQ($B8,"IQ_CDS_mid",L$2)</f>
        <v>10.98</v>
      </c>
      <c r="M8">
        <f ca="1">_xll.ciqfunctions.udf.CIQ($B8,"IQ_CDS_mid",M$2)</f>
        <v>10.9</v>
      </c>
      <c r="N8">
        <f ca="1">_xll.ciqfunctions.udf.CIQ($B8,"IQ_CDS_mid",N$2)</f>
        <v>11</v>
      </c>
      <c r="O8">
        <f ca="1">_xll.ciqfunctions.udf.CIQ($B8,"IQ_CDS_mid",O$2)</f>
        <v>11</v>
      </c>
      <c r="P8">
        <f ca="1">_xll.ciqfunctions.udf.CIQ($B8,"IQ_CDS_mid",P$2)</f>
        <v>11</v>
      </c>
      <c r="Q8">
        <f ca="1">_xll.ciqfunctions.udf.CIQ($B8,"IQ_CDS_mid",Q$2)</f>
        <v>11</v>
      </c>
      <c r="R8">
        <f ca="1">_xll.ciqfunctions.udf.CIQ($B8,"IQ_CDS_mid",R$2)</f>
        <v>13.418699999999999</v>
      </c>
      <c r="S8">
        <f ca="1">_xll.ciqfunctions.udf.CIQ($B8,"IQ_CDS_mid",S$2)</f>
        <v>14.875</v>
      </c>
      <c r="T8">
        <f t="shared" ref="T8:T20" ca="1" si="1">C8-H8</f>
        <v>-9.9000000000000199E-2</v>
      </c>
      <c r="U8">
        <f t="shared" ref="U8:U20" ca="1" si="2">C8-M8</f>
        <v>0</v>
      </c>
      <c r="V8">
        <f t="shared" ref="V8:V20" ca="1" si="3">C8-Q8</f>
        <v>-9.9999999999999645E-2</v>
      </c>
      <c r="W8">
        <f t="shared" ref="W8:W20" ca="1" si="4">C8-R8</f>
        <v>-2.5186999999999991</v>
      </c>
      <c r="X8">
        <f t="shared" ca="1" si="0"/>
        <v>-3.9749999999999996</v>
      </c>
    </row>
    <row r="9" spans="1:26">
      <c r="A9" t="s">
        <v>18</v>
      </c>
      <c r="B9" s="19" t="s">
        <v>169</v>
      </c>
      <c r="C9">
        <f ca="1">_xll.ciqfunctions.udf.CIQ($B9,"IQ_CDS_mid",C$2)</f>
        <v>17.375</v>
      </c>
      <c r="D9">
        <f ca="1">_xll.ciqfunctions.udf.CIQ($B9,"IQ_CDS_mid",D$2)</f>
        <v>17.375</v>
      </c>
      <c r="E9">
        <f ca="1">_xll.ciqfunctions.udf.CIQ($B9,"IQ_CDS_mid",E$2)</f>
        <v>17.375</v>
      </c>
      <c r="F9">
        <f ca="1">_xll.ciqfunctions.udf.CIQ($B9,"IQ_CDS_mid",F$2)</f>
        <v>17.375</v>
      </c>
      <c r="G9">
        <f ca="1">_xll.ciqfunctions.udf.CIQ($B9,"IQ_CDS_mid",G$2)</f>
        <v>17.333300000000001</v>
      </c>
      <c r="H9">
        <f ca="1">_xll.ciqfunctions.udf.CIQ($B9,"IQ_CDS_mid",H$2)</f>
        <v>17.427399999999999</v>
      </c>
      <c r="I9">
        <f ca="1">_xll.ciqfunctions.udf.CIQ($B9,"IQ_CDS_mid",I$2)</f>
        <v>17.427399999999999</v>
      </c>
      <c r="J9">
        <f ca="1">_xll.ciqfunctions.udf.CIQ($B9,"IQ_CDS_mid",J$2)</f>
        <v>17.427399999999999</v>
      </c>
      <c r="K9">
        <f ca="1">_xll.ciqfunctions.udf.CIQ($B9,"IQ_CDS_mid",K$2)</f>
        <v>17.45</v>
      </c>
      <c r="L9">
        <f ca="1">_xll.ciqfunctions.udf.CIQ($B9,"IQ_CDS_mid",L$2)</f>
        <v>17.45</v>
      </c>
      <c r="M9">
        <f ca="1">_xll.ciqfunctions.udf.CIQ($B9,"IQ_CDS_mid",M$2)</f>
        <v>17.399999999999999</v>
      </c>
      <c r="N9">
        <f ca="1">_xll.ciqfunctions.udf.CIQ($B9,"IQ_CDS_mid",N$2)</f>
        <v>17.375</v>
      </c>
      <c r="O9">
        <f ca="1">_xll.ciqfunctions.udf.CIQ($B9,"IQ_CDS_mid",O$2)</f>
        <v>17.375</v>
      </c>
      <c r="P9">
        <f ca="1">_xll.ciqfunctions.udf.CIQ($B9,"IQ_CDS_mid",P$2)</f>
        <v>17.375</v>
      </c>
      <c r="Q9">
        <f ca="1">_xll.ciqfunctions.udf.CIQ($B9,"IQ_CDS_mid",Q$2)</f>
        <v>17.375</v>
      </c>
      <c r="R9">
        <f ca="1">_xll.ciqfunctions.udf.CIQ($B9,"IQ_CDS_mid",R$2)</f>
        <v>18.05</v>
      </c>
      <c r="S9">
        <f ca="1">_xll.ciqfunctions.udf.CIQ($B9,"IQ_CDS_mid",S$2)</f>
        <v>23.25</v>
      </c>
      <c r="T9">
        <f t="shared" ca="1" si="1"/>
        <v>-5.239999999999867E-2</v>
      </c>
      <c r="U9">
        <f t="shared" ca="1" si="2"/>
        <v>-2.4999999999998579E-2</v>
      </c>
      <c r="V9">
        <f t="shared" ca="1" si="3"/>
        <v>0</v>
      </c>
      <c r="W9">
        <f t="shared" ca="1" si="4"/>
        <v>-0.67500000000000071</v>
      </c>
      <c r="X9">
        <f t="shared" ca="1" si="0"/>
        <v>-5.875</v>
      </c>
    </row>
    <row r="10" spans="1:26">
      <c r="A10" t="s">
        <v>19</v>
      </c>
      <c r="B10" s="19" t="s">
        <v>170</v>
      </c>
      <c r="C10">
        <f ca="1">_xll.ciqfunctions.udf.CIQ($B10,"IQ_CDS_mid",C$2)</f>
        <v>11.393800000000001</v>
      </c>
      <c r="D10">
        <f ca="1">_xll.ciqfunctions.udf.CIQ($B10,"IQ_CDS_mid",D$2)</f>
        <v>11.393800000000001</v>
      </c>
      <c r="E10">
        <f ca="1">_xll.ciqfunctions.udf.CIQ($B10,"IQ_CDS_mid",E$2)</f>
        <v>11.166700000000001</v>
      </c>
      <c r="F10">
        <f ca="1">_xll.ciqfunctions.udf.CIQ($B10,"IQ_CDS_mid",F$2)</f>
        <v>11.166700000000001</v>
      </c>
      <c r="G10">
        <f ca="1">_xll.ciqfunctions.udf.CIQ($B10,"IQ_CDS_mid",G$2)</f>
        <v>11.375400000000001</v>
      </c>
      <c r="H10">
        <f ca="1">_xll.ciqfunctions.udf.CIQ($B10,"IQ_CDS_mid",H$2)</f>
        <v>11.25</v>
      </c>
      <c r="I10">
        <f ca="1">_xll.ciqfunctions.udf.CIQ($B10,"IQ_CDS_mid",I$2)</f>
        <v>11.25</v>
      </c>
      <c r="J10">
        <f ca="1">_xll.ciqfunctions.udf.CIQ($B10,"IQ_CDS_mid",J$2)</f>
        <v>11.25</v>
      </c>
      <c r="K10">
        <f ca="1">_xll.ciqfunctions.udf.CIQ($B10,"IQ_CDS_mid",K$2)</f>
        <v>11.25</v>
      </c>
      <c r="L10">
        <f ca="1">_xll.ciqfunctions.udf.CIQ($B10,"IQ_CDS_mid",L$2)</f>
        <v>11.0625</v>
      </c>
      <c r="M10">
        <f ca="1">_xll.ciqfunctions.udf.CIQ($B10,"IQ_CDS_mid",M$2)</f>
        <v>11</v>
      </c>
      <c r="N10">
        <f ca="1">_xll.ciqfunctions.udf.CIQ($B10,"IQ_CDS_mid",N$2)</f>
        <v>11.375</v>
      </c>
      <c r="O10">
        <f ca="1">_xll.ciqfunctions.udf.CIQ($B10,"IQ_CDS_mid",O$2)</f>
        <v>11.375</v>
      </c>
      <c r="P10">
        <f ca="1">_xll.ciqfunctions.udf.CIQ($B10,"IQ_CDS_mid",P$2)</f>
        <v>11.375</v>
      </c>
      <c r="Q10">
        <f ca="1">_xll.ciqfunctions.udf.CIQ($B10,"IQ_CDS_mid",Q$2)</f>
        <v>11.375</v>
      </c>
      <c r="R10">
        <f ca="1">_xll.ciqfunctions.udf.CIQ($B10,"IQ_CDS_mid",R$2)</f>
        <v>12.666700000000001</v>
      </c>
      <c r="S10">
        <f ca="1">_xll.ciqfunctions.udf.CIQ($B10,"IQ_CDS_mid",S$2)</f>
        <v>16.345400000000001</v>
      </c>
      <c r="T10">
        <f t="shared" ca="1" si="1"/>
        <v>0.14380000000000059</v>
      </c>
      <c r="U10">
        <f t="shared" ca="1" si="2"/>
        <v>0.39380000000000059</v>
      </c>
      <c r="V10">
        <f t="shared" ca="1" si="3"/>
        <v>1.8800000000000594E-2</v>
      </c>
      <c r="W10">
        <f t="shared" ca="1" si="4"/>
        <v>-1.2728999999999999</v>
      </c>
      <c r="X10">
        <f t="shared" ca="1" si="0"/>
        <v>-4.9516000000000009</v>
      </c>
    </row>
    <row r="11" spans="1:26">
      <c r="A11" t="s">
        <v>20</v>
      </c>
      <c r="B11" s="19" t="s">
        <v>171</v>
      </c>
      <c r="C11">
        <f ca="1">_xll.ciqfunctions.udf.CIQ($B11,"IQ_CDS_mid",C$2)</f>
        <v>31.25</v>
      </c>
      <c r="D11">
        <f ca="1">_xll.ciqfunctions.udf.CIQ($B11,"IQ_CDS_mid",D$2)</f>
        <v>31.25</v>
      </c>
      <c r="E11">
        <f ca="1">_xll.ciqfunctions.udf.CIQ($B11,"IQ_CDS_mid",E$2)</f>
        <v>31.160900000000002</v>
      </c>
      <c r="F11">
        <f ca="1">_xll.ciqfunctions.udf.CIQ($B11,"IQ_CDS_mid",F$2)</f>
        <v>31.2224</v>
      </c>
      <c r="G11">
        <f ca="1">_xll.ciqfunctions.udf.CIQ($B11,"IQ_CDS_mid",G$2)</f>
        <v>30.8581</v>
      </c>
      <c r="H11">
        <f ca="1">_xll.ciqfunctions.udf.CIQ($B11,"IQ_CDS_mid",H$2)</f>
        <v>30.703900000000001</v>
      </c>
      <c r="I11">
        <f ca="1">_xll.ciqfunctions.udf.CIQ($B11,"IQ_CDS_mid",I$2)</f>
        <v>30.703900000000001</v>
      </c>
      <c r="J11">
        <f ca="1">_xll.ciqfunctions.udf.CIQ($B11,"IQ_CDS_mid",J$2)</f>
        <v>30.703900000000001</v>
      </c>
      <c r="K11">
        <f ca="1">_xll.ciqfunctions.udf.CIQ($B11,"IQ_CDS_mid",K$2)</f>
        <v>30.691600000000001</v>
      </c>
      <c r="L11">
        <f ca="1">_xll.ciqfunctions.udf.CIQ($B11,"IQ_CDS_mid",L$2)</f>
        <v>30.727699999999999</v>
      </c>
      <c r="M11">
        <f ca="1">_xll.ciqfunctions.udf.CIQ($B11,"IQ_CDS_mid",M$2)</f>
        <v>29.646000000000001</v>
      </c>
      <c r="N11">
        <f ca="1">_xll.ciqfunctions.udf.CIQ($B11,"IQ_CDS_mid",N$2)</f>
        <v>29.086500000000001</v>
      </c>
      <c r="O11">
        <f ca="1">_xll.ciqfunctions.udf.CIQ($B11,"IQ_CDS_mid",O$2)</f>
        <v>29.062899999999999</v>
      </c>
      <c r="P11">
        <f ca="1">_xll.ciqfunctions.udf.CIQ($B11,"IQ_CDS_mid",P$2)</f>
        <v>29.062899999999999</v>
      </c>
      <c r="Q11">
        <f ca="1">_xll.ciqfunctions.udf.CIQ($B11,"IQ_CDS_mid",Q$2)</f>
        <v>29.062899999999999</v>
      </c>
      <c r="R11">
        <f ca="1">_xll.ciqfunctions.udf.CIQ($B11,"IQ_CDS_mid",R$2)</f>
        <v>27.0396</v>
      </c>
      <c r="S11">
        <f ca="1">_xll.ciqfunctions.udf.CIQ($B11,"IQ_CDS_mid",S$2)</f>
        <v>33.557699999999997</v>
      </c>
      <c r="T11">
        <f t="shared" ca="1" si="1"/>
        <v>0.54609999999999914</v>
      </c>
      <c r="U11">
        <f t="shared" ca="1" si="2"/>
        <v>1.6039999999999992</v>
      </c>
      <c r="V11">
        <f t="shared" ca="1" si="3"/>
        <v>2.1871000000000009</v>
      </c>
      <c r="W11">
        <f t="shared" ca="1" si="4"/>
        <v>4.2103999999999999</v>
      </c>
      <c r="X11">
        <f t="shared" ca="1" si="0"/>
        <v>-2.307699999999997</v>
      </c>
    </row>
    <row r="12" spans="1:26">
      <c r="A12" t="s">
        <v>21</v>
      </c>
      <c r="B12" s="19" t="s">
        <v>172</v>
      </c>
      <c r="C12">
        <f ca="1">_xll.ciqfunctions.udf.CIQ($B12,"IQ_CDS_mid",C$2)</f>
        <v>7.0042999999999997</v>
      </c>
      <c r="D12">
        <f ca="1">_xll.ciqfunctions.udf.CIQ($B12,"IQ_CDS_mid",D$2)</f>
        <v>7.0042999999999997</v>
      </c>
      <c r="E12">
        <f ca="1">_xll.ciqfunctions.udf.CIQ($B12,"IQ_CDS_mid",E$2)</f>
        <v>7.0171000000000001</v>
      </c>
      <c r="F12">
        <f ca="1">_xll.ciqfunctions.udf.CIQ($B12,"IQ_CDS_mid",F$2)</f>
        <v>7.1001000000000003</v>
      </c>
      <c r="G12">
        <f ca="1">_xll.ciqfunctions.udf.CIQ($B12,"IQ_CDS_mid",G$2)</f>
        <v>7.0004999999999997</v>
      </c>
      <c r="H12">
        <f ca="1">_xll.ciqfunctions.udf.CIQ($B12,"IQ_CDS_mid",H$2)</f>
        <v>7.0019999999999998</v>
      </c>
      <c r="I12">
        <f ca="1">_xll.ciqfunctions.udf.CIQ($B12,"IQ_CDS_mid",I$2)</f>
        <v>7.0019999999999998</v>
      </c>
      <c r="J12">
        <f ca="1">_xll.ciqfunctions.udf.CIQ($B12,"IQ_CDS_mid",J$2)</f>
        <v>7.0019999999999998</v>
      </c>
      <c r="K12">
        <f ca="1">_xll.ciqfunctions.udf.CIQ($B12,"IQ_CDS_mid",K$2)</f>
        <v>7.0079000000000002</v>
      </c>
      <c r="L12">
        <f ca="1">_xll.ciqfunctions.udf.CIQ($B12,"IQ_CDS_mid",L$2)</f>
        <v>7.0315000000000003</v>
      </c>
      <c r="M12">
        <f ca="1">_xll.ciqfunctions.udf.CIQ($B12,"IQ_CDS_mid",M$2)</f>
        <v>7.1260000000000003</v>
      </c>
      <c r="N12">
        <f ca="1">_xll.ciqfunctions.udf.CIQ($B12,"IQ_CDS_mid",N$2)</f>
        <v>7.0041000000000002</v>
      </c>
      <c r="O12">
        <f ca="1">_xll.ciqfunctions.udf.CIQ($B12,"IQ_CDS_mid",O$2)</f>
        <v>7.0164999999999997</v>
      </c>
      <c r="P12">
        <f ca="1">_xll.ciqfunctions.udf.CIQ($B12,"IQ_CDS_mid",P$2)</f>
        <v>7.0164999999999997</v>
      </c>
      <c r="Q12">
        <f ca="1">_xll.ciqfunctions.udf.CIQ($B12,"IQ_CDS_mid",Q$2)</f>
        <v>7.0164999999999997</v>
      </c>
      <c r="R12">
        <f ca="1">_xll.ciqfunctions.udf.CIQ($B12,"IQ_CDS_mid",R$2)</f>
        <v>9.1135999999999999</v>
      </c>
      <c r="S12">
        <f ca="1">_xll.ciqfunctions.udf.CIQ($B12,"IQ_CDS_mid",S$2)</f>
        <v>8.5</v>
      </c>
      <c r="T12">
        <f t="shared" ca="1" si="1"/>
        <v>2.2999999999999687E-3</v>
      </c>
      <c r="U12">
        <f t="shared" ca="1" si="2"/>
        <v>-0.12170000000000059</v>
      </c>
      <c r="V12">
        <f t="shared" ca="1" si="3"/>
        <v>-1.2199999999999989E-2</v>
      </c>
      <c r="W12">
        <f t="shared" ca="1" si="4"/>
        <v>-2.1093000000000002</v>
      </c>
      <c r="X12">
        <f t="shared" ca="1" si="0"/>
        <v>-1.4957000000000003</v>
      </c>
    </row>
    <row r="13" spans="1:26">
      <c r="A13" t="s">
        <v>22</v>
      </c>
      <c r="B13" s="19" t="s">
        <v>173</v>
      </c>
      <c r="C13">
        <f ca="1">_xll.ciqfunctions.udf.CIQ($B13,"IQ_CDS_mid",C$2)</f>
        <v>29.333300000000001</v>
      </c>
      <c r="D13">
        <f ca="1">_xll.ciqfunctions.udf.CIQ($B13,"IQ_CDS_mid",D$2)</f>
        <v>29.333300000000001</v>
      </c>
      <c r="E13">
        <f ca="1">_xll.ciqfunctions.udf.CIQ($B13,"IQ_CDS_mid",E$2)</f>
        <v>29.4375</v>
      </c>
      <c r="F13">
        <f ca="1">_xll.ciqfunctions.udf.CIQ($B13,"IQ_CDS_mid",F$2)</f>
        <v>29.3507</v>
      </c>
      <c r="G13">
        <f ca="1">_xll.ciqfunctions.udf.CIQ($B13,"IQ_CDS_mid",G$2)</f>
        <v>29.182700000000001</v>
      </c>
      <c r="H13">
        <f ca="1">_xll.ciqfunctions.udf.CIQ($B13,"IQ_CDS_mid",H$2)</f>
        <v>29.1875</v>
      </c>
      <c r="I13">
        <f ca="1">_xll.ciqfunctions.udf.CIQ($B13,"IQ_CDS_mid",I$2)</f>
        <v>29.1875</v>
      </c>
      <c r="J13">
        <f ca="1">_xll.ciqfunctions.udf.CIQ($B13,"IQ_CDS_mid",J$2)</f>
        <v>29.1875</v>
      </c>
      <c r="K13">
        <f ca="1">_xll.ciqfunctions.udf.CIQ($B13,"IQ_CDS_mid",K$2)</f>
        <v>29.448399999999999</v>
      </c>
      <c r="L13">
        <f ca="1">_xll.ciqfunctions.udf.CIQ($B13,"IQ_CDS_mid",L$2)</f>
        <v>29.5</v>
      </c>
      <c r="M13">
        <f ca="1">_xll.ciqfunctions.udf.CIQ($B13,"IQ_CDS_mid",M$2)</f>
        <v>28.45</v>
      </c>
      <c r="N13">
        <f ca="1">_xll.ciqfunctions.udf.CIQ($B13,"IQ_CDS_mid",N$2)</f>
        <v>28.583300000000001</v>
      </c>
      <c r="O13">
        <f ca="1">_xll.ciqfunctions.udf.CIQ($B13,"IQ_CDS_mid",O$2)</f>
        <v>28.995999999999999</v>
      </c>
      <c r="P13">
        <f ca="1">_xll.ciqfunctions.udf.CIQ($B13,"IQ_CDS_mid",P$2)</f>
        <v>28.995999999999999</v>
      </c>
      <c r="Q13">
        <f ca="1">_xll.ciqfunctions.udf.CIQ($B13,"IQ_CDS_mid",Q$2)</f>
        <v>28.995999999999999</v>
      </c>
      <c r="R13">
        <f ca="1">_xll.ciqfunctions.udf.CIQ($B13,"IQ_CDS_mid",R$2)</f>
        <v>30.276700000000002</v>
      </c>
      <c r="S13">
        <f ca="1">_xll.ciqfunctions.udf.CIQ($B13,"IQ_CDS_mid",S$2)</f>
        <v>46.337400000000002</v>
      </c>
      <c r="T13">
        <f t="shared" ca="1" si="1"/>
        <v>0.14580000000000126</v>
      </c>
      <c r="U13">
        <f t="shared" ca="1" si="2"/>
        <v>0.88330000000000197</v>
      </c>
      <c r="V13">
        <f t="shared" ca="1" si="3"/>
        <v>0.3373000000000026</v>
      </c>
      <c r="W13">
        <f t="shared" ca="1" si="4"/>
        <v>-0.94340000000000046</v>
      </c>
      <c r="X13">
        <f t="shared" ca="1" si="0"/>
        <v>-17.004100000000001</v>
      </c>
    </row>
    <row r="14" spans="1:26">
      <c r="A14" t="s">
        <v>23</v>
      </c>
      <c r="B14" s="19" t="s">
        <v>174</v>
      </c>
      <c r="C14">
        <f ca="1">_xll.ciqfunctions.udf.CIQ($B14,"IQ_CDS_mid",C$2)</f>
        <v>14.4375</v>
      </c>
      <c r="D14">
        <f ca="1">_xll.ciqfunctions.udf.CIQ($B14,"IQ_CDS_mid",D$2)</f>
        <v>14.4375</v>
      </c>
      <c r="E14">
        <f ca="1">_xll.ciqfunctions.udf.CIQ($B14,"IQ_CDS_mid",E$2)</f>
        <v>14.5625</v>
      </c>
      <c r="F14">
        <f ca="1">_xll.ciqfunctions.udf.CIQ($B14,"IQ_CDS_mid",F$2)</f>
        <v>14.5</v>
      </c>
      <c r="G14">
        <f ca="1">_xll.ciqfunctions.udf.CIQ($B14,"IQ_CDS_mid",G$2)</f>
        <v>14.333299999999999</v>
      </c>
      <c r="H14">
        <f ca="1">_xll.ciqfunctions.udf.CIQ($B14,"IQ_CDS_mid",H$2)</f>
        <v>14.333299999999999</v>
      </c>
      <c r="I14">
        <f ca="1">_xll.ciqfunctions.udf.CIQ($B14,"IQ_CDS_mid",I$2)</f>
        <v>14.333299999999999</v>
      </c>
      <c r="J14">
        <f ca="1">_xll.ciqfunctions.udf.CIQ($B14,"IQ_CDS_mid",J$2)</f>
        <v>14.333299999999999</v>
      </c>
      <c r="K14">
        <f ca="1">_xll.ciqfunctions.udf.CIQ($B14,"IQ_CDS_mid",K$2)</f>
        <v>14.333299999999999</v>
      </c>
      <c r="L14">
        <f ca="1">_xll.ciqfunctions.udf.CIQ($B14,"IQ_CDS_mid",L$2)</f>
        <v>14.375</v>
      </c>
      <c r="M14">
        <f ca="1">_xll.ciqfunctions.udf.CIQ($B14,"IQ_CDS_mid",M$2)</f>
        <v>14.5</v>
      </c>
      <c r="N14">
        <f ca="1">_xll.ciqfunctions.udf.CIQ($B14,"IQ_CDS_mid",N$2)</f>
        <v>14</v>
      </c>
      <c r="O14">
        <f ca="1">_xll.ciqfunctions.udf.CIQ($B14,"IQ_CDS_mid",O$2)</f>
        <v>14.125</v>
      </c>
      <c r="P14">
        <f ca="1">_xll.ciqfunctions.udf.CIQ($B14,"IQ_CDS_mid",P$2)</f>
        <v>14.125</v>
      </c>
      <c r="Q14">
        <f ca="1">_xll.ciqfunctions.udf.CIQ($B14,"IQ_CDS_mid",Q$2)</f>
        <v>14.125</v>
      </c>
      <c r="R14">
        <f ca="1">_xll.ciqfunctions.udf.CIQ($B14,"IQ_CDS_mid",R$2)</f>
        <v>15.7</v>
      </c>
      <c r="S14">
        <f ca="1">_xll.ciqfunctions.udf.CIQ($B14,"IQ_CDS_mid",S$2)</f>
        <v>18.666699999999999</v>
      </c>
      <c r="T14">
        <f t="shared" ca="1" si="1"/>
        <v>0.10420000000000051</v>
      </c>
      <c r="U14">
        <f t="shared" ca="1" si="2"/>
        <v>-6.25E-2</v>
      </c>
      <c r="V14">
        <f t="shared" ca="1" si="3"/>
        <v>0.3125</v>
      </c>
      <c r="W14">
        <f t="shared" ca="1" si="4"/>
        <v>-1.2624999999999993</v>
      </c>
      <c r="X14">
        <f t="shared" ca="1" si="0"/>
        <v>-4.2291999999999987</v>
      </c>
    </row>
    <row r="15" spans="1:26">
      <c r="A15" t="s">
        <v>24</v>
      </c>
      <c r="B15" s="19" t="s">
        <v>175</v>
      </c>
      <c r="C15">
        <f ca="1">_xll.ciqfunctions.udf.CIQ($B15,"IQ_CDS_mid",C$2)</f>
        <v>30</v>
      </c>
      <c r="D15">
        <f ca="1">_xll.ciqfunctions.udf.CIQ($B15,"IQ_CDS_mid",D$2)</f>
        <v>30</v>
      </c>
      <c r="E15">
        <f ca="1">_xll.ciqfunctions.udf.CIQ($B15,"IQ_CDS_mid",E$2)</f>
        <v>29.85</v>
      </c>
      <c r="F15">
        <f ca="1">_xll.ciqfunctions.udf.CIQ($B15,"IQ_CDS_mid",F$2)</f>
        <v>29.845600000000001</v>
      </c>
      <c r="G15">
        <f ca="1">_xll.ciqfunctions.udf.CIQ($B15,"IQ_CDS_mid",G$2)</f>
        <v>29.152699999999999</v>
      </c>
      <c r="H15">
        <f ca="1">_xll.ciqfunctions.udf.CIQ($B15,"IQ_CDS_mid",H$2)</f>
        <v>29.305</v>
      </c>
      <c r="I15">
        <f ca="1">_xll.ciqfunctions.udf.CIQ($B15,"IQ_CDS_mid",I$2)</f>
        <v>29.305</v>
      </c>
      <c r="J15">
        <f ca="1">_xll.ciqfunctions.udf.CIQ($B15,"IQ_CDS_mid",J$2)</f>
        <v>29.305</v>
      </c>
      <c r="K15">
        <f ca="1">_xll.ciqfunctions.udf.CIQ($B15,"IQ_CDS_mid",K$2)</f>
        <v>29.441099999999999</v>
      </c>
      <c r="L15">
        <f ca="1">_xll.ciqfunctions.udf.CIQ($B15,"IQ_CDS_mid",L$2)</f>
        <v>29.428899999999999</v>
      </c>
      <c r="M15">
        <f ca="1">_xll.ciqfunctions.udf.CIQ($B15,"IQ_CDS_mid",M$2)</f>
        <v>28.681899999999999</v>
      </c>
      <c r="N15">
        <f ca="1">_xll.ciqfunctions.udf.CIQ($B15,"IQ_CDS_mid",N$2)</f>
        <v>28.4375</v>
      </c>
      <c r="O15">
        <f ca="1">_xll.ciqfunctions.udf.CIQ($B15,"IQ_CDS_mid",O$2)</f>
        <v>28.5</v>
      </c>
      <c r="P15">
        <f ca="1">_xll.ciqfunctions.udf.CIQ($B15,"IQ_CDS_mid",P$2)</f>
        <v>28.5</v>
      </c>
      <c r="Q15">
        <f ca="1">_xll.ciqfunctions.udf.CIQ($B15,"IQ_CDS_mid",Q$2)</f>
        <v>28.5</v>
      </c>
      <c r="R15">
        <f ca="1">_xll.ciqfunctions.udf.CIQ($B15,"IQ_CDS_mid",R$2)</f>
        <v>30.254100000000001</v>
      </c>
      <c r="S15">
        <f ca="1">_xll.ciqfunctions.udf.CIQ($B15,"IQ_CDS_mid",S$2)</f>
        <v>43.634999999999998</v>
      </c>
      <c r="T15">
        <f t="shared" ca="1" si="1"/>
        <v>0.69500000000000028</v>
      </c>
      <c r="U15">
        <f t="shared" ca="1" si="2"/>
        <v>1.3181000000000012</v>
      </c>
      <c r="V15">
        <f t="shared" ca="1" si="3"/>
        <v>1.5</v>
      </c>
      <c r="W15">
        <f t="shared" ca="1" si="4"/>
        <v>-0.2541000000000011</v>
      </c>
      <c r="X15">
        <f t="shared" ca="1" si="0"/>
        <v>-13.634999999999998</v>
      </c>
    </row>
    <row r="16" spans="1:26">
      <c r="A16" t="s">
        <v>25</v>
      </c>
      <c r="B16" s="19" t="s">
        <v>176</v>
      </c>
      <c r="C16">
        <f ca="1">_xll.ciqfunctions.udf.CIQ($B16,"IQ_CDS_mid",C$2)</f>
        <v>10.3414</v>
      </c>
      <c r="D16">
        <f ca="1">_xll.ciqfunctions.udf.CIQ($B16,"IQ_CDS_mid",D$2)</f>
        <v>10.3414</v>
      </c>
      <c r="E16">
        <f ca="1">_xll.ciqfunctions.udf.CIQ($B16,"IQ_CDS_mid",E$2)</f>
        <v>10.623799999999999</v>
      </c>
      <c r="F16">
        <f ca="1">_xll.ciqfunctions.udf.CIQ($B16,"IQ_CDS_mid",F$2)</f>
        <v>10.6304</v>
      </c>
      <c r="G16">
        <f ca="1">_xll.ciqfunctions.udf.CIQ($B16,"IQ_CDS_mid",G$2)</f>
        <v>9.9968000000000004</v>
      </c>
      <c r="H16">
        <f ca="1">_xll.ciqfunctions.udf.CIQ($B16,"IQ_CDS_mid",H$2)</f>
        <v>10.537800000000001</v>
      </c>
      <c r="I16">
        <f ca="1">_xll.ciqfunctions.udf.CIQ($B16,"IQ_CDS_mid",I$2)</f>
        <v>10.537800000000001</v>
      </c>
      <c r="J16">
        <f ca="1">_xll.ciqfunctions.udf.CIQ($B16,"IQ_CDS_mid",J$2)</f>
        <v>10.537800000000001</v>
      </c>
      <c r="K16">
        <f ca="1">_xll.ciqfunctions.udf.CIQ($B16,"IQ_CDS_mid",K$2)</f>
        <v>10.6538</v>
      </c>
      <c r="L16">
        <f ca="1">_xll.ciqfunctions.udf.CIQ($B16,"IQ_CDS_mid",L$2)</f>
        <v>9.9497999999999998</v>
      </c>
      <c r="M16">
        <f ca="1">_xll.ciqfunctions.udf.CIQ($B16,"IQ_CDS_mid",M$2)</f>
        <v>10.3782</v>
      </c>
      <c r="N16">
        <f ca="1">_xll.ciqfunctions.udf.CIQ($B16,"IQ_CDS_mid",N$2)</f>
        <v>10.0754</v>
      </c>
      <c r="O16">
        <f ca="1">_xll.ciqfunctions.udf.CIQ($B16,"IQ_CDS_mid",O$2)</f>
        <v>10.018800000000001</v>
      </c>
      <c r="P16">
        <f ca="1">_xll.ciqfunctions.udf.CIQ($B16,"IQ_CDS_mid",P$2)</f>
        <v>10.018800000000001</v>
      </c>
      <c r="Q16">
        <f ca="1">_xll.ciqfunctions.udf.CIQ($B16,"IQ_CDS_mid",Q$2)</f>
        <v>10.018800000000001</v>
      </c>
      <c r="R16">
        <f ca="1">_xll.ciqfunctions.udf.CIQ($B16,"IQ_CDS_mid",R$2)</f>
        <v>10.1693</v>
      </c>
      <c r="S16">
        <f ca="1">_xll.ciqfunctions.udf.CIQ($B16,"IQ_CDS_mid",S$2)</f>
        <v>16.358599999999999</v>
      </c>
      <c r="T16">
        <f t="shared" ca="1" si="1"/>
        <v>-0.19640000000000057</v>
      </c>
      <c r="U16">
        <f t="shared" ca="1" si="2"/>
        <v>-3.67999999999995E-2</v>
      </c>
      <c r="V16">
        <f t="shared" ca="1" si="3"/>
        <v>0.32259999999999955</v>
      </c>
      <c r="W16">
        <f t="shared" ca="1" si="4"/>
        <v>0.17210000000000036</v>
      </c>
      <c r="X16">
        <f t="shared" ca="1" si="0"/>
        <v>-6.017199999999999</v>
      </c>
    </row>
    <row r="17" spans="1:24">
      <c r="A17" t="s">
        <v>26</v>
      </c>
      <c r="B17" s="19" t="s">
        <v>177</v>
      </c>
      <c r="C17">
        <f ca="1">_xll.ciqfunctions.udf.CIQ($B17,"IQ_CDS_mid",C$2)</f>
        <v>7.8967000000000001</v>
      </c>
      <c r="D17">
        <f ca="1">_xll.ciqfunctions.udf.CIQ($B17,"IQ_CDS_mid",D$2)</f>
        <v>7.8967000000000001</v>
      </c>
      <c r="E17">
        <f ca="1">_xll.ciqfunctions.udf.CIQ($B17,"IQ_CDS_mid",E$2)</f>
        <v>7.875</v>
      </c>
      <c r="F17">
        <f ca="1">_xll.ciqfunctions.udf.CIQ($B17,"IQ_CDS_mid",F$2)</f>
        <v>7.875</v>
      </c>
      <c r="G17">
        <f ca="1">_xll.ciqfunctions.udf.CIQ($B17,"IQ_CDS_mid",G$2)</f>
        <v>7.8</v>
      </c>
      <c r="H17">
        <f ca="1">_xll.ciqfunctions.udf.CIQ($B17,"IQ_CDS_mid",H$2)</f>
        <v>7.6718999999999999</v>
      </c>
      <c r="I17">
        <f ca="1">_xll.ciqfunctions.udf.CIQ($B17,"IQ_CDS_mid",I$2)</f>
        <v>7.6718999999999999</v>
      </c>
      <c r="J17">
        <f ca="1">_xll.ciqfunctions.udf.CIQ($B17,"IQ_CDS_mid",J$2)</f>
        <v>7.6718999999999999</v>
      </c>
      <c r="K17">
        <f ca="1">_xll.ciqfunctions.udf.CIQ($B17,"IQ_CDS_mid",K$2)</f>
        <v>7.75</v>
      </c>
      <c r="L17">
        <f ca="1">_xll.ciqfunctions.udf.CIQ($B17,"IQ_CDS_mid",L$2)</f>
        <v>7.8125</v>
      </c>
      <c r="M17">
        <f ca="1">_xll.ciqfunctions.udf.CIQ($B17,"IQ_CDS_mid",M$2)</f>
        <v>7.9375</v>
      </c>
      <c r="N17">
        <f ca="1">_xll.ciqfunctions.udf.CIQ($B17,"IQ_CDS_mid",N$2)</f>
        <v>7.8125</v>
      </c>
      <c r="O17">
        <f ca="1">_xll.ciqfunctions.udf.CIQ($B17,"IQ_CDS_mid",O$2)</f>
        <v>7.8125</v>
      </c>
      <c r="P17">
        <f ca="1">_xll.ciqfunctions.udf.CIQ($B17,"IQ_CDS_mid",P$2)</f>
        <v>7.8125</v>
      </c>
      <c r="Q17">
        <f ca="1">_xll.ciqfunctions.udf.CIQ($B17,"IQ_CDS_mid",Q$2)</f>
        <v>7.8125</v>
      </c>
      <c r="R17">
        <f ca="1">_xll.ciqfunctions.udf.CIQ($B17,"IQ_CDS_mid",R$2)</f>
        <v>8.9224999999999994</v>
      </c>
      <c r="S17">
        <f ca="1">_xll.ciqfunctions.udf.CIQ($B17,"IQ_CDS_mid",S$2)</f>
        <v>10.625</v>
      </c>
      <c r="T17">
        <f t="shared" ca="1" si="1"/>
        <v>0.22480000000000011</v>
      </c>
      <c r="U17">
        <f t="shared" ca="1" si="2"/>
        <v>-4.0799999999999947E-2</v>
      </c>
      <c r="V17">
        <f t="shared" ca="1" si="3"/>
        <v>8.4200000000000053E-2</v>
      </c>
      <c r="W17">
        <f t="shared" ca="1" si="4"/>
        <v>-1.0257999999999994</v>
      </c>
      <c r="X17">
        <f t="shared" ca="1" si="0"/>
        <v>-2.7282999999999999</v>
      </c>
    </row>
    <row r="18" spans="1:24">
      <c r="A18" t="s">
        <v>27</v>
      </c>
      <c r="B18" s="19" t="s">
        <v>178</v>
      </c>
      <c r="C18">
        <f ca="1">_xll.ciqfunctions.udf.CIQ($B18,"IQ_CDS_mid",C$2)</f>
        <v>14.375</v>
      </c>
      <c r="D18">
        <f ca="1">_xll.ciqfunctions.udf.CIQ($B18,"IQ_CDS_mid",D$2)</f>
        <v>14.375</v>
      </c>
      <c r="E18">
        <f ca="1">_xll.ciqfunctions.udf.CIQ($B18,"IQ_CDS_mid",E$2)</f>
        <v>14.3125</v>
      </c>
      <c r="F18">
        <f ca="1">_xll.ciqfunctions.udf.CIQ($B18,"IQ_CDS_mid",F$2)</f>
        <v>14.35</v>
      </c>
      <c r="G18">
        <f ca="1">_xll.ciqfunctions.udf.CIQ($B18,"IQ_CDS_mid",G$2)</f>
        <v>14.25</v>
      </c>
      <c r="H18">
        <f ca="1">_xll.ciqfunctions.udf.CIQ($B18,"IQ_CDS_mid",H$2)</f>
        <v>14.125</v>
      </c>
      <c r="I18">
        <f ca="1">_xll.ciqfunctions.udf.CIQ($B18,"IQ_CDS_mid",I$2)</f>
        <v>14.125</v>
      </c>
      <c r="J18">
        <f ca="1">_xll.ciqfunctions.udf.CIQ($B18,"IQ_CDS_mid",J$2)</f>
        <v>14.125</v>
      </c>
      <c r="K18">
        <f ca="1">_xll.ciqfunctions.udf.CIQ($B18,"IQ_CDS_mid",K$2)</f>
        <v>14.2</v>
      </c>
      <c r="L18">
        <f ca="1">_xll.ciqfunctions.udf.CIQ($B18,"IQ_CDS_mid",L$2)</f>
        <v>14.3125</v>
      </c>
      <c r="M18">
        <f ca="1">_xll.ciqfunctions.udf.CIQ($B18,"IQ_CDS_mid",M$2)</f>
        <v>14.262499999999999</v>
      </c>
      <c r="N18">
        <f ca="1">_xll.ciqfunctions.udf.CIQ($B18,"IQ_CDS_mid",N$2)</f>
        <v>14.166700000000001</v>
      </c>
      <c r="O18">
        <f ca="1">_xll.ciqfunctions.udf.CIQ($B18,"IQ_CDS_mid",O$2)</f>
        <v>14.333299999999999</v>
      </c>
      <c r="P18">
        <f ca="1">_xll.ciqfunctions.udf.CIQ($B18,"IQ_CDS_mid",P$2)</f>
        <v>14.333299999999999</v>
      </c>
      <c r="Q18">
        <f ca="1">_xll.ciqfunctions.udf.CIQ($B18,"IQ_CDS_mid",Q$2)</f>
        <v>14.333299999999999</v>
      </c>
      <c r="R18">
        <f ca="1">_xll.ciqfunctions.udf.CIQ($B18,"IQ_CDS_mid",R$2)</f>
        <v>16.399999999999999</v>
      </c>
      <c r="S18">
        <f ca="1">_xll.ciqfunctions.udf.CIQ($B18,"IQ_CDS_mid",S$2)</f>
        <v>23.333300000000001</v>
      </c>
      <c r="T18">
        <f t="shared" ca="1" si="1"/>
        <v>0.25</v>
      </c>
      <c r="U18">
        <f t="shared" ca="1" si="2"/>
        <v>0.11250000000000071</v>
      </c>
      <c r="V18">
        <f t="shared" ca="1" si="3"/>
        <v>4.1700000000000514E-2</v>
      </c>
      <c r="W18">
        <f t="shared" ca="1" si="4"/>
        <v>-2.0249999999999986</v>
      </c>
      <c r="X18">
        <f t="shared" ca="1" si="0"/>
        <v>-8.9583000000000013</v>
      </c>
    </row>
    <row r="19" spans="1:24">
      <c r="A19" t="s">
        <v>28</v>
      </c>
      <c r="B19" s="19" t="s">
        <v>179</v>
      </c>
      <c r="C19">
        <f ca="1">_xll.ciqfunctions.udf.CIQ($B19,"IQ_CDS_mid",C$2)</f>
        <v>36.054499999999997</v>
      </c>
      <c r="D19">
        <f ca="1">_xll.ciqfunctions.udf.CIQ($B19,"IQ_CDS_mid",D$2)</f>
        <v>36.054499999999997</v>
      </c>
      <c r="E19">
        <f ca="1">_xll.ciqfunctions.udf.CIQ($B19,"IQ_CDS_mid",E$2)</f>
        <v>35.6477</v>
      </c>
      <c r="F19">
        <f ca="1">_xll.ciqfunctions.udf.CIQ($B19,"IQ_CDS_mid",F$2)</f>
        <v>35.881599999999999</v>
      </c>
      <c r="G19">
        <f ca="1">_xll.ciqfunctions.udf.CIQ($B19,"IQ_CDS_mid",G$2)</f>
        <v>36.149299999999997</v>
      </c>
      <c r="H19">
        <f ca="1">_xll.ciqfunctions.udf.CIQ($B19,"IQ_CDS_mid",H$2)</f>
        <v>36.468200000000003</v>
      </c>
      <c r="I19">
        <f ca="1">_xll.ciqfunctions.udf.CIQ($B19,"IQ_CDS_mid",I$2)</f>
        <v>36.468200000000003</v>
      </c>
      <c r="J19">
        <f ca="1">_xll.ciqfunctions.udf.CIQ($B19,"IQ_CDS_mid",J$2)</f>
        <v>36.468200000000003</v>
      </c>
      <c r="K19">
        <f ca="1">_xll.ciqfunctions.udf.CIQ($B19,"IQ_CDS_mid",K$2)</f>
        <v>36.967199999999998</v>
      </c>
      <c r="L19">
        <f ca="1">_xll.ciqfunctions.udf.CIQ($B19,"IQ_CDS_mid",L$2)</f>
        <v>37.1873</v>
      </c>
      <c r="M19">
        <f ca="1">_xll.ciqfunctions.udf.CIQ($B19,"IQ_CDS_mid",M$2)</f>
        <v>38.5794</v>
      </c>
      <c r="N19">
        <f ca="1">_xll.ciqfunctions.udf.CIQ($B19,"IQ_CDS_mid",N$2)</f>
        <v>38.6676</v>
      </c>
      <c r="O19">
        <f ca="1">_xll.ciqfunctions.udf.CIQ($B19,"IQ_CDS_mid",O$2)</f>
        <v>37.551699999999997</v>
      </c>
      <c r="P19">
        <f ca="1">_xll.ciqfunctions.udf.CIQ($B19,"IQ_CDS_mid",P$2)</f>
        <v>37.551699999999997</v>
      </c>
      <c r="Q19">
        <f ca="1">_xll.ciqfunctions.udf.CIQ($B19,"IQ_CDS_mid",Q$2)</f>
        <v>37.551699999999997</v>
      </c>
      <c r="R19">
        <f ca="1">_xll.ciqfunctions.udf.CIQ($B19,"IQ_CDS_mid",R$2)</f>
        <v>37.891100000000002</v>
      </c>
      <c r="S19">
        <f ca="1">_xll.ciqfunctions.udf.CIQ($B19,"IQ_CDS_mid",S$2)</f>
        <v>32.392600000000002</v>
      </c>
      <c r="T19">
        <f t="shared" ca="1" si="1"/>
        <v>-0.41370000000000573</v>
      </c>
      <c r="U19">
        <f t="shared" ca="1" si="2"/>
        <v>-2.5249000000000024</v>
      </c>
      <c r="V19">
        <f t="shared" ca="1" si="3"/>
        <v>-1.4971999999999994</v>
      </c>
      <c r="W19">
        <f t="shared" ca="1" si="4"/>
        <v>-1.8366000000000042</v>
      </c>
      <c r="X19">
        <f t="shared" ca="1" si="0"/>
        <v>3.6618999999999957</v>
      </c>
    </row>
    <row r="20" spans="1:24">
      <c r="A20" t="s">
        <v>29</v>
      </c>
      <c r="B20" s="19" t="s">
        <v>180</v>
      </c>
      <c r="C20">
        <f ca="1">_xll.ciqfunctions.udf.CIQ($B20,"IQ_CDS_mid",C$2)</f>
        <v>16.5</v>
      </c>
      <c r="D20">
        <f ca="1">_xll.ciqfunctions.udf.CIQ($B20,"IQ_CDS_mid",D$2)</f>
        <v>16.5</v>
      </c>
      <c r="E20">
        <f ca="1">_xll.ciqfunctions.udf.CIQ($B20,"IQ_CDS_mid",E$2)</f>
        <v>16.5837</v>
      </c>
      <c r="F20">
        <f ca="1">_xll.ciqfunctions.udf.CIQ($B20,"IQ_CDS_mid",F$2)</f>
        <v>16.5</v>
      </c>
      <c r="G20">
        <f ca="1">_xll.ciqfunctions.udf.CIQ($B20,"IQ_CDS_mid",G$2)</f>
        <v>16.020600000000002</v>
      </c>
      <c r="H20">
        <f ca="1">_xll.ciqfunctions.udf.CIQ($B20,"IQ_CDS_mid",H$2)</f>
        <v>16.166699999999999</v>
      </c>
      <c r="I20">
        <f ca="1">_xll.ciqfunctions.udf.CIQ($B20,"IQ_CDS_mid",I$2)</f>
        <v>16.166699999999999</v>
      </c>
      <c r="J20">
        <f ca="1">_xll.ciqfunctions.udf.CIQ($B20,"IQ_CDS_mid",J$2)</f>
        <v>16.166699999999999</v>
      </c>
      <c r="K20">
        <f ca="1">_xll.ciqfunctions.udf.CIQ($B20,"IQ_CDS_mid",K$2)</f>
        <v>16.166699999999999</v>
      </c>
      <c r="L20">
        <f ca="1">_xll.ciqfunctions.udf.CIQ($B20,"IQ_CDS_mid",L$2)</f>
        <v>16.020399999999999</v>
      </c>
      <c r="M20">
        <f ca="1">_xll.ciqfunctions.udf.CIQ($B20,"IQ_CDS_mid",M$2)</f>
        <v>15.833299999999999</v>
      </c>
      <c r="N20">
        <f ca="1">_xll.ciqfunctions.udf.CIQ($B20,"IQ_CDS_mid",N$2)</f>
        <v>16</v>
      </c>
      <c r="O20">
        <f ca="1">_xll.ciqfunctions.udf.CIQ($B20,"IQ_CDS_mid",O$2)</f>
        <v>15.8125</v>
      </c>
      <c r="P20">
        <f ca="1">_xll.ciqfunctions.udf.CIQ($B20,"IQ_CDS_mid",P$2)</f>
        <v>15.8125</v>
      </c>
      <c r="Q20">
        <f ca="1">_xll.ciqfunctions.udf.CIQ($B20,"IQ_CDS_mid",Q$2)</f>
        <v>15.8125</v>
      </c>
      <c r="R20">
        <f ca="1">_xll.ciqfunctions.udf.CIQ($B20,"IQ_CDS_mid",R$2)</f>
        <v>16.833300000000001</v>
      </c>
      <c r="S20">
        <f ca="1">_xll.ciqfunctions.udf.CIQ($B20,"IQ_CDS_mid",S$2)</f>
        <v>28.439900000000002</v>
      </c>
      <c r="T20">
        <f t="shared" ca="1" si="1"/>
        <v>0.33330000000000126</v>
      </c>
      <c r="U20">
        <f t="shared" ca="1" si="2"/>
        <v>0.66670000000000051</v>
      </c>
      <c r="V20">
        <f t="shared" ca="1" si="3"/>
        <v>0.6875</v>
      </c>
      <c r="W20">
        <f t="shared" ca="1" si="4"/>
        <v>-0.33330000000000126</v>
      </c>
      <c r="X20">
        <f t="shared" ca="1" si="0"/>
        <v>-11.939900000000002</v>
      </c>
    </row>
    <row r="21" spans="1:24">
      <c r="A21" s="14" t="s">
        <v>181</v>
      </c>
      <c r="X21">
        <f t="shared" si="0"/>
        <v>0</v>
      </c>
    </row>
    <row r="22" spans="1:24">
      <c r="A22" t="s">
        <v>31</v>
      </c>
      <c r="B22" s="19" t="s">
        <v>182</v>
      </c>
      <c r="C22">
        <f ca="1">_xll.ciqfunctions.udf.CIQ($B22,"IQ_CDS_mid",C$2)</f>
        <v>18.399999999999999</v>
      </c>
      <c r="D22">
        <f ca="1">_xll.ciqfunctions.udf.CIQ($B22,"IQ_CDS_mid",D$2)</f>
        <v>18.399999999999999</v>
      </c>
      <c r="E22">
        <f ca="1">_xll.ciqfunctions.udf.CIQ($B22,"IQ_CDS_mid",E$2)</f>
        <v>18.549700000000001</v>
      </c>
      <c r="F22">
        <f ca="1">_xll.ciqfunctions.udf.CIQ($B22,"IQ_CDS_mid",F$2)</f>
        <v>18.600000000000001</v>
      </c>
      <c r="G22">
        <f ca="1">_xll.ciqfunctions.udf.CIQ($B22,"IQ_CDS_mid",G$2)</f>
        <v>17.833300000000001</v>
      </c>
      <c r="H22">
        <f ca="1">_xll.ciqfunctions.udf.CIQ($B22,"IQ_CDS_mid",H$2)</f>
        <v>17.833300000000001</v>
      </c>
      <c r="I22">
        <f ca="1">_xll.ciqfunctions.udf.CIQ($B22,"IQ_CDS_mid",I$2)</f>
        <v>17.833300000000001</v>
      </c>
      <c r="J22">
        <f ca="1">_xll.ciqfunctions.udf.CIQ($B22,"IQ_CDS_mid",J$2)</f>
        <v>17.833300000000001</v>
      </c>
      <c r="K22">
        <f ca="1">_xll.ciqfunctions.udf.CIQ($B22,"IQ_CDS_mid",K$2)</f>
        <v>17.9375</v>
      </c>
      <c r="L22">
        <f ca="1">_xll.ciqfunctions.udf.CIQ($B22,"IQ_CDS_mid",L$2)</f>
        <v>18.100000000000001</v>
      </c>
      <c r="M22">
        <f ca="1">_xll.ciqfunctions.udf.CIQ($B22,"IQ_CDS_mid",M$2)</f>
        <v>17.75</v>
      </c>
      <c r="N22">
        <f ca="1">_xll.ciqfunctions.udf.CIQ($B22,"IQ_CDS_mid",N$2)</f>
        <v>17.875</v>
      </c>
      <c r="O22">
        <f ca="1">_xll.ciqfunctions.udf.CIQ($B22,"IQ_CDS_mid",O$2)</f>
        <v>17.875</v>
      </c>
      <c r="P22">
        <f ca="1">_xll.ciqfunctions.udf.CIQ($B22,"IQ_CDS_mid",P$2)</f>
        <v>17.875</v>
      </c>
      <c r="Q22">
        <f ca="1">_xll.ciqfunctions.udf.CIQ($B22,"IQ_CDS_mid",Q$2)</f>
        <v>17.875</v>
      </c>
      <c r="R22">
        <f ca="1">_xll.ciqfunctions.udf.CIQ($B22,"IQ_CDS_mid",R$2)</f>
        <v>19</v>
      </c>
      <c r="S22">
        <f ca="1">_xll.ciqfunctions.udf.CIQ($B22,"IQ_CDS_mid",S$2)</f>
        <v>16.666699999999999</v>
      </c>
      <c r="T22">
        <f t="shared" ref="T22:T29" ca="1" si="5">C22-H22</f>
        <v>0.56669999999999732</v>
      </c>
      <c r="U22">
        <f t="shared" ref="U22:U29" ca="1" si="6">C22-M22</f>
        <v>0.64999999999999858</v>
      </c>
      <c r="V22">
        <f t="shared" ref="V22:V29" ca="1" si="7">C22-Q22</f>
        <v>0.52499999999999858</v>
      </c>
      <c r="W22">
        <f t="shared" ref="W22:W29" ca="1" si="8">C22-R22</f>
        <v>-0.60000000000000142</v>
      </c>
      <c r="X22">
        <f t="shared" ca="1" si="0"/>
        <v>1.7332999999999998</v>
      </c>
    </row>
    <row r="23" spans="1:24">
      <c r="A23" t="s">
        <v>32</v>
      </c>
      <c r="B23" s="19" t="s">
        <v>183</v>
      </c>
      <c r="C23">
        <f ca="1">_xll.ciqfunctions.udf.CIQ($B23,"IQ_CDS_mid",C$2)</f>
        <v>29.828800000000001</v>
      </c>
      <c r="D23">
        <f ca="1">_xll.ciqfunctions.udf.CIQ($B23,"IQ_CDS_mid",D$2)</f>
        <v>29.828800000000001</v>
      </c>
      <c r="E23">
        <f ca="1">_xll.ciqfunctions.udf.CIQ($B23,"IQ_CDS_mid",E$2)</f>
        <v>29.7485</v>
      </c>
      <c r="F23">
        <f ca="1">_xll.ciqfunctions.udf.CIQ($B23,"IQ_CDS_mid",F$2)</f>
        <v>29.4392</v>
      </c>
      <c r="G23">
        <f ca="1">_xll.ciqfunctions.udf.CIQ($B23,"IQ_CDS_mid",G$2)</f>
        <v>28.9693</v>
      </c>
      <c r="H23">
        <f ca="1">_xll.ciqfunctions.udf.CIQ($B23,"IQ_CDS_mid",H$2)</f>
        <v>28.029199999999999</v>
      </c>
      <c r="I23">
        <f ca="1">_xll.ciqfunctions.udf.CIQ($B23,"IQ_CDS_mid",I$2)</f>
        <v>28.029199999999999</v>
      </c>
      <c r="J23">
        <f ca="1">_xll.ciqfunctions.udf.CIQ($B23,"IQ_CDS_mid",J$2)</f>
        <v>28.029199999999999</v>
      </c>
      <c r="K23">
        <f ca="1">_xll.ciqfunctions.udf.CIQ($B23,"IQ_CDS_mid",K$2)</f>
        <v>27.785</v>
      </c>
      <c r="L23">
        <f ca="1">_xll.ciqfunctions.udf.CIQ($B23,"IQ_CDS_mid",L$2)</f>
        <v>26.265599999999999</v>
      </c>
      <c r="M23">
        <f ca="1">_xll.ciqfunctions.udf.CIQ($B23,"IQ_CDS_mid",M$2)</f>
        <v>28.867100000000001</v>
      </c>
      <c r="N23">
        <f ca="1">_xll.ciqfunctions.udf.CIQ($B23,"IQ_CDS_mid",N$2)</f>
        <v>28.5091</v>
      </c>
      <c r="O23">
        <f ca="1">_xll.ciqfunctions.udf.CIQ($B23,"IQ_CDS_mid",O$2)</f>
        <v>26.422899999999998</v>
      </c>
      <c r="P23">
        <f ca="1">_xll.ciqfunctions.udf.CIQ($B23,"IQ_CDS_mid",P$2)</f>
        <v>26.422899999999998</v>
      </c>
      <c r="Q23">
        <f ca="1">_xll.ciqfunctions.udf.CIQ($B23,"IQ_CDS_mid",Q$2)</f>
        <v>26.422899999999998</v>
      </c>
      <c r="R23">
        <f ca="1">_xll.ciqfunctions.udf.CIQ($B23,"IQ_CDS_mid",R$2)</f>
        <v>28.877700000000001</v>
      </c>
      <c r="S23">
        <f ca="1">_xll.ciqfunctions.udf.CIQ($B23,"IQ_CDS_mid",S$2)</f>
        <v>25.6661</v>
      </c>
      <c r="T23">
        <f t="shared" ca="1" si="5"/>
        <v>1.7996000000000016</v>
      </c>
      <c r="U23">
        <f t="shared" ca="1" si="6"/>
        <v>0.96170000000000044</v>
      </c>
      <c r="V23">
        <f t="shared" ca="1" si="7"/>
        <v>3.4059000000000026</v>
      </c>
      <c r="W23">
        <f t="shared" ca="1" si="8"/>
        <v>0.95110000000000028</v>
      </c>
      <c r="X23">
        <f t="shared" ca="1" si="0"/>
        <v>4.162700000000001</v>
      </c>
    </row>
    <row r="24" spans="1:24">
      <c r="A24" t="s">
        <v>33</v>
      </c>
      <c r="B24" s="19" t="s">
        <v>184</v>
      </c>
      <c r="C24">
        <f ca="1">_xll.ciqfunctions.udf.CIQ($B24,"IQ_CDS_mid",C$2)</f>
        <v>7.8333000000000004</v>
      </c>
      <c r="D24">
        <f ca="1">_xll.ciqfunctions.udf.CIQ($B24,"IQ_CDS_mid",D$2)</f>
        <v>7.8333000000000004</v>
      </c>
      <c r="E24">
        <f ca="1">_xll.ciqfunctions.udf.CIQ($B24,"IQ_CDS_mid",E$2)</f>
        <v>8.0832999999999995</v>
      </c>
      <c r="F24">
        <f ca="1">_xll.ciqfunctions.udf.CIQ($B24,"IQ_CDS_mid",F$2)</f>
        <v>8</v>
      </c>
      <c r="G24">
        <f ca="1">_xll.ciqfunctions.udf.CIQ($B24,"IQ_CDS_mid",G$2)</f>
        <v>7.9127000000000001</v>
      </c>
      <c r="H24">
        <f ca="1">_xll.ciqfunctions.udf.CIQ($B24,"IQ_CDS_mid",H$2)</f>
        <v>7.9162999999999997</v>
      </c>
      <c r="I24">
        <f ca="1">_xll.ciqfunctions.udf.CIQ($B24,"IQ_CDS_mid",I$2)</f>
        <v>7.9162999999999997</v>
      </c>
      <c r="J24">
        <f ca="1">_xll.ciqfunctions.udf.CIQ($B24,"IQ_CDS_mid",J$2)</f>
        <v>7.9162999999999997</v>
      </c>
      <c r="K24">
        <f ca="1">_xll.ciqfunctions.udf.CIQ($B24,"IQ_CDS_mid",K$2)</f>
        <v>7.9375</v>
      </c>
      <c r="L24">
        <f ca="1">_xll.ciqfunctions.udf.CIQ($B24,"IQ_CDS_mid",L$2)</f>
        <v>7.8333000000000004</v>
      </c>
      <c r="M24">
        <f ca="1">_xll.ciqfunctions.udf.CIQ($B24,"IQ_CDS_mid",M$2)</f>
        <v>7.8333000000000004</v>
      </c>
      <c r="N24">
        <f ca="1">_xll.ciqfunctions.udf.CIQ($B24,"IQ_CDS_mid",N$2)</f>
        <v>8.125</v>
      </c>
      <c r="O24">
        <f ca="1">_xll.ciqfunctions.udf.CIQ($B24,"IQ_CDS_mid",O$2)</f>
        <v>8.125</v>
      </c>
      <c r="P24">
        <f ca="1">_xll.ciqfunctions.udf.CIQ($B24,"IQ_CDS_mid",P$2)</f>
        <v>8.125</v>
      </c>
      <c r="Q24">
        <f ca="1">_xll.ciqfunctions.udf.CIQ($B24,"IQ_CDS_mid",Q$2)</f>
        <v>8.125</v>
      </c>
      <c r="R24">
        <f ca="1">_xll.ciqfunctions.udf.CIQ($B24,"IQ_CDS_mid",R$2)</f>
        <v>9</v>
      </c>
      <c r="S24">
        <f ca="1">_xll.ciqfunctions.udf.CIQ($B24,"IQ_CDS_mid",S$2)</f>
        <v>9.7751999999999999</v>
      </c>
      <c r="T24">
        <f t="shared" ca="1" si="5"/>
        <v>-8.2999999999999297E-2</v>
      </c>
      <c r="U24">
        <f t="shared" ca="1" si="6"/>
        <v>0</v>
      </c>
      <c r="V24">
        <f t="shared" ca="1" si="7"/>
        <v>-0.29169999999999963</v>
      </c>
      <c r="W24">
        <f t="shared" ca="1" si="8"/>
        <v>-1.1666999999999996</v>
      </c>
      <c r="X24">
        <f t="shared" ca="1" si="0"/>
        <v>-1.9418999999999995</v>
      </c>
    </row>
    <row r="25" spans="1:24">
      <c r="A25" t="s">
        <v>34</v>
      </c>
      <c r="B25" s="19" t="s">
        <v>185</v>
      </c>
      <c r="C25">
        <f ca="1">_xll.ciqfunctions.udf.CIQ($B25,"IQ_CDS_mid",C$2)</f>
        <v>4.7927</v>
      </c>
      <c r="D25">
        <f ca="1">_xll.ciqfunctions.udf.CIQ($B25,"IQ_CDS_mid",D$2)</f>
        <v>4.7927</v>
      </c>
      <c r="E25">
        <f ca="1">_xll.ciqfunctions.udf.CIQ($B25,"IQ_CDS_mid",E$2)</f>
        <v>4.5082000000000004</v>
      </c>
      <c r="F25">
        <f ca="1">_xll.ciqfunctions.udf.CIQ($B25,"IQ_CDS_mid",F$2)</f>
        <v>4.5067000000000004</v>
      </c>
      <c r="G25">
        <f ca="1">_xll.ciqfunctions.udf.CIQ($B25,"IQ_CDS_mid",G$2)</f>
        <v>4.4958</v>
      </c>
      <c r="H25">
        <f ca="1">_xll.ciqfunctions.udf.CIQ($B25,"IQ_CDS_mid",H$2)</f>
        <v>4.4996</v>
      </c>
      <c r="I25">
        <f ca="1">_xll.ciqfunctions.udf.CIQ($B25,"IQ_CDS_mid",I$2)</f>
        <v>4.4996</v>
      </c>
      <c r="J25">
        <f ca="1">_xll.ciqfunctions.udf.CIQ($B25,"IQ_CDS_mid",J$2)</f>
        <v>4.4996</v>
      </c>
      <c r="K25">
        <f ca="1">_xll.ciqfunctions.udf.CIQ($B25,"IQ_CDS_mid",K$2)</f>
        <v>4.5007999999999999</v>
      </c>
      <c r="L25">
        <f ca="1">_xll.ciqfunctions.udf.CIQ($B25,"IQ_CDS_mid",L$2)</f>
        <v>4.7224000000000004</v>
      </c>
      <c r="M25">
        <f ca="1">_xll.ciqfunctions.udf.CIQ($B25,"IQ_CDS_mid",M$2)</f>
        <v>4.8080999999999996</v>
      </c>
      <c r="N25">
        <f ca="1">_xll.ciqfunctions.udf.CIQ($B25,"IQ_CDS_mid",N$2)</f>
        <v>4.7081999999999997</v>
      </c>
      <c r="O25">
        <f ca="1">_xll.ciqfunctions.udf.CIQ($B25,"IQ_CDS_mid",O$2)</f>
        <v>4.7058</v>
      </c>
      <c r="P25">
        <f ca="1">_xll.ciqfunctions.udf.CIQ($B25,"IQ_CDS_mid",P$2)</f>
        <v>4.7058</v>
      </c>
      <c r="Q25">
        <f ca="1">_xll.ciqfunctions.udf.CIQ($B25,"IQ_CDS_mid",Q$2)</f>
        <v>4.7058</v>
      </c>
      <c r="R25">
        <f ca="1">_xll.ciqfunctions.udf.CIQ($B25,"IQ_CDS_mid",R$2)</f>
        <v>5.5784000000000002</v>
      </c>
      <c r="S25">
        <f ca="1">_xll.ciqfunctions.udf.CIQ($B25,"IQ_CDS_mid",S$2)</f>
        <v>8.4640000000000004</v>
      </c>
      <c r="T25">
        <f t="shared" ca="1" si="5"/>
        <v>0.29309999999999992</v>
      </c>
      <c r="U25">
        <f t="shared" ca="1" si="6"/>
        <v>-1.5399999999999636E-2</v>
      </c>
      <c r="V25">
        <f t="shared" ca="1" si="7"/>
        <v>8.6899999999999977E-2</v>
      </c>
      <c r="W25">
        <f t="shared" ca="1" si="8"/>
        <v>-0.78570000000000029</v>
      </c>
      <c r="X25">
        <f t="shared" ca="1" si="0"/>
        <v>-3.6713000000000005</v>
      </c>
    </row>
    <row r="26" spans="1:24">
      <c r="A26" t="s">
        <v>35</v>
      </c>
      <c r="B26" s="19" t="s">
        <v>186</v>
      </c>
      <c r="C26">
        <f ca="1">_xll.ciqfunctions.udf.CIQ($B26,"IQ_CDS_mid",C$2)</f>
        <v>50.662199999999999</v>
      </c>
      <c r="D26">
        <f ca="1">_xll.ciqfunctions.udf.CIQ($B26,"IQ_CDS_mid",D$2)</f>
        <v>50.662199999999999</v>
      </c>
      <c r="E26">
        <f ca="1">_xll.ciqfunctions.udf.CIQ($B26,"IQ_CDS_mid",E$2)</f>
        <v>50.5535</v>
      </c>
      <c r="F26">
        <f ca="1">_xll.ciqfunctions.udf.CIQ($B26,"IQ_CDS_mid",F$2)</f>
        <v>50.5366</v>
      </c>
      <c r="G26">
        <f ca="1">_xll.ciqfunctions.udf.CIQ($B26,"IQ_CDS_mid",G$2)</f>
        <v>50.558</v>
      </c>
      <c r="H26">
        <f ca="1">_xll.ciqfunctions.udf.CIQ($B26,"IQ_CDS_mid",H$2)</f>
        <v>50.546199999999999</v>
      </c>
      <c r="I26">
        <f ca="1">_xll.ciqfunctions.udf.CIQ($B26,"IQ_CDS_mid",I$2)</f>
        <v>50.546199999999999</v>
      </c>
      <c r="J26">
        <f ca="1">_xll.ciqfunctions.udf.CIQ($B26,"IQ_CDS_mid",J$2)</f>
        <v>50.546199999999999</v>
      </c>
      <c r="K26">
        <f ca="1">_xll.ciqfunctions.udf.CIQ($B26,"IQ_CDS_mid",K$2)</f>
        <v>50.543700000000001</v>
      </c>
      <c r="L26">
        <f ca="1">_xll.ciqfunctions.udf.CIQ($B26,"IQ_CDS_mid",L$2)</f>
        <v>50.552999999999997</v>
      </c>
      <c r="M26">
        <f ca="1">_xll.ciqfunctions.udf.CIQ($B26,"IQ_CDS_mid",M$2)</f>
        <v>50.561900000000001</v>
      </c>
      <c r="N26">
        <f ca="1">_xll.ciqfunctions.udf.CIQ($B26,"IQ_CDS_mid",N$2)</f>
        <v>50.548000000000002</v>
      </c>
      <c r="O26">
        <f ca="1">_xll.ciqfunctions.udf.CIQ($B26,"IQ_CDS_mid",O$2)</f>
        <v>50.5486</v>
      </c>
      <c r="P26">
        <f ca="1">_xll.ciqfunctions.udf.CIQ($B26,"IQ_CDS_mid",P$2)</f>
        <v>50.5486</v>
      </c>
      <c r="Q26">
        <f ca="1">_xll.ciqfunctions.udf.CIQ($B26,"IQ_CDS_mid",Q$2)</f>
        <v>50.5486</v>
      </c>
      <c r="R26">
        <f ca="1">_xll.ciqfunctions.udf.CIQ($B26,"IQ_CDS_mid",R$2)</f>
        <v>52.287799999999997</v>
      </c>
      <c r="S26">
        <f ca="1">_xll.ciqfunctions.udf.CIQ($B26,"IQ_CDS_mid",S$2)</f>
        <v>66.454999999999998</v>
      </c>
      <c r="T26">
        <f t="shared" ca="1" si="5"/>
        <v>0.11599999999999966</v>
      </c>
      <c r="U26">
        <f t="shared" ca="1" si="6"/>
        <v>0.10029999999999717</v>
      </c>
      <c r="V26">
        <f t="shared" ca="1" si="7"/>
        <v>0.11359999999999815</v>
      </c>
      <c r="W26">
        <f t="shared" ca="1" si="8"/>
        <v>-1.6255999999999986</v>
      </c>
      <c r="X26">
        <f t="shared" ca="1" si="0"/>
        <v>-15.7928</v>
      </c>
    </row>
    <row r="27" spans="1:24">
      <c r="A27" t="s">
        <v>36</v>
      </c>
      <c r="B27" s="19" t="s">
        <v>187</v>
      </c>
      <c r="C27">
        <f ca="1">_xll.ciqfunctions.udf.CIQ($B27,"IQ_CDS_mid",C$2)</f>
        <v>6.4809000000000001</v>
      </c>
      <c r="D27">
        <f ca="1">_xll.ciqfunctions.udf.CIQ($B27,"IQ_CDS_mid",D$2)</f>
        <v>6.4809000000000001</v>
      </c>
      <c r="E27">
        <f ca="1">_xll.ciqfunctions.udf.CIQ($B27,"IQ_CDS_mid",E$2)</f>
        <v>6.8322000000000003</v>
      </c>
      <c r="F27">
        <f ca="1">_xll.ciqfunctions.udf.CIQ($B27,"IQ_CDS_mid",F$2)</f>
        <v>7.25</v>
      </c>
      <c r="G27">
        <f ca="1">_xll.ciqfunctions.udf.CIQ($B27,"IQ_CDS_mid",G$2)</f>
        <v>6.8292999999999999</v>
      </c>
      <c r="H27">
        <f ca="1">_xll.ciqfunctions.udf.CIQ($B27,"IQ_CDS_mid",H$2)</f>
        <v>6.7275999999999998</v>
      </c>
      <c r="I27">
        <f ca="1">_xll.ciqfunctions.udf.CIQ($B27,"IQ_CDS_mid",I$2)</f>
        <v>6.7275999999999998</v>
      </c>
      <c r="J27">
        <f ca="1">_xll.ciqfunctions.udf.CIQ($B27,"IQ_CDS_mid",J$2)</f>
        <v>6.7275999999999998</v>
      </c>
      <c r="K27">
        <f ca="1">_xll.ciqfunctions.udf.CIQ($B27,"IQ_CDS_mid",K$2)</f>
        <v>7.3333000000000004</v>
      </c>
      <c r="L27">
        <f ca="1">_xll.ciqfunctions.udf.CIQ($B27,"IQ_CDS_mid",L$2)</f>
        <v>7.3333000000000004</v>
      </c>
      <c r="M27">
        <f ca="1">_xll.ciqfunctions.udf.CIQ($B27,"IQ_CDS_mid",M$2)</f>
        <v>7.5</v>
      </c>
      <c r="N27">
        <f ca="1">_xll.ciqfunctions.udf.CIQ($B27,"IQ_CDS_mid",N$2)</f>
        <v>6.8490000000000002</v>
      </c>
      <c r="O27">
        <f ca="1">_xll.ciqfunctions.udf.CIQ($B27,"IQ_CDS_mid",O$2)</f>
        <v>7.5</v>
      </c>
      <c r="P27">
        <f ca="1">_xll.ciqfunctions.udf.CIQ($B27,"IQ_CDS_mid",P$2)</f>
        <v>7.5</v>
      </c>
      <c r="Q27">
        <f ca="1">_xll.ciqfunctions.udf.CIQ($B27,"IQ_CDS_mid",Q$2)</f>
        <v>7.5</v>
      </c>
      <c r="R27">
        <f ca="1">_xll.ciqfunctions.udf.CIQ($B27,"IQ_CDS_mid",R$2)</f>
        <v>7.8333000000000004</v>
      </c>
      <c r="S27">
        <f ca="1">_xll.ciqfunctions.udf.CIQ($B27,"IQ_CDS_mid",S$2)</f>
        <v>10.1303</v>
      </c>
      <c r="T27">
        <f t="shared" ca="1" si="5"/>
        <v>-0.2466999999999997</v>
      </c>
      <c r="U27">
        <f t="shared" ca="1" si="6"/>
        <v>-1.0190999999999999</v>
      </c>
      <c r="V27">
        <f t="shared" ca="1" si="7"/>
        <v>-1.0190999999999999</v>
      </c>
      <c r="W27">
        <f t="shared" ca="1" si="8"/>
        <v>-1.3524000000000003</v>
      </c>
      <c r="X27">
        <f t="shared" ca="1" si="0"/>
        <v>-3.6494</v>
      </c>
    </row>
    <row r="28" spans="1:24">
      <c r="A28" t="s">
        <v>37</v>
      </c>
      <c r="B28" s="19" t="s">
        <v>188</v>
      </c>
      <c r="C28">
        <f ca="1">_xll.ciqfunctions.udf.CIQ($B28,"IQ_CDS_mid",C$2)</f>
        <v>7.2488000000000001</v>
      </c>
      <c r="D28">
        <f ca="1">_xll.ciqfunctions.udf.CIQ($B28,"IQ_CDS_mid",D$2)</f>
        <v>7.2488000000000001</v>
      </c>
      <c r="E28">
        <f ca="1">_xll.ciqfunctions.udf.CIQ($B28,"IQ_CDS_mid",E$2)</f>
        <v>7.2503000000000002</v>
      </c>
      <c r="F28">
        <f ca="1">_xll.ciqfunctions.udf.CIQ($B28,"IQ_CDS_mid",F$2)</f>
        <v>7.2491000000000003</v>
      </c>
      <c r="G28">
        <f ca="1">_xll.ciqfunctions.udf.CIQ($B28,"IQ_CDS_mid",G$2)</f>
        <v>7.2408000000000001</v>
      </c>
      <c r="H28">
        <f ca="1">_xll.ciqfunctions.udf.CIQ($B28,"IQ_CDS_mid",H$2)</f>
        <v>7.2432999999999996</v>
      </c>
      <c r="I28">
        <f ca="1">_xll.ciqfunctions.udf.CIQ($B28,"IQ_CDS_mid",I$2)</f>
        <v>7.2432999999999996</v>
      </c>
      <c r="J28">
        <f ca="1">_xll.ciqfunctions.udf.CIQ($B28,"IQ_CDS_mid",J$2)</f>
        <v>7.2432999999999996</v>
      </c>
      <c r="K28">
        <f ca="1">_xll.ciqfunctions.udf.CIQ($B28,"IQ_CDS_mid",K$2)</f>
        <v>7.2461000000000002</v>
      </c>
      <c r="L28">
        <f ca="1">_xll.ciqfunctions.udf.CIQ($B28,"IQ_CDS_mid",L$2)</f>
        <v>7.2419000000000002</v>
      </c>
      <c r="M28">
        <f ca="1">_xll.ciqfunctions.udf.CIQ($B28,"IQ_CDS_mid",M$2)</f>
        <v>7.2398999999999996</v>
      </c>
      <c r="N28">
        <f ca="1">_xll.ciqfunctions.udf.CIQ($B28,"IQ_CDS_mid",N$2)</f>
        <v>7.2442000000000002</v>
      </c>
      <c r="O28">
        <f ca="1">_xll.ciqfunctions.udf.CIQ($B28,"IQ_CDS_mid",O$2)</f>
        <v>7.2411000000000003</v>
      </c>
      <c r="P28">
        <f ca="1">_xll.ciqfunctions.udf.CIQ($B28,"IQ_CDS_mid",P$2)</f>
        <v>7.2411000000000003</v>
      </c>
      <c r="Q28">
        <f ca="1">_xll.ciqfunctions.udf.CIQ($B28,"IQ_CDS_mid",Q$2)</f>
        <v>7.2411000000000003</v>
      </c>
      <c r="R28">
        <f ca="1">_xll.ciqfunctions.udf.CIQ($B28,"IQ_CDS_mid",R$2)</f>
        <v>7.8982999999999999</v>
      </c>
      <c r="S28">
        <f ca="1">_xll.ciqfunctions.udf.CIQ($B28,"IQ_CDS_mid",S$2)</f>
        <v>8.1667000000000005</v>
      </c>
      <c r="T28">
        <f t="shared" ca="1" si="5"/>
        <v>5.5000000000005045E-3</v>
      </c>
      <c r="U28">
        <f t="shared" ca="1" si="6"/>
        <v>8.9000000000005741E-3</v>
      </c>
      <c r="V28">
        <f t="shared" ca="1" si="7"/>
        <v>7.6999999999998181E-3</v>
      </c>
      <c r="W28">
        <f t="shared" ca="1" si="8"/>
        <v>-0.64949999999999974</v>
      </c>
      <c r="X28">
        <f t="shared" ca="1" si="0"/>
        <v>-0.91790000000000038</v>
      </c>
    </row>
    <row r="29" spans="1:24">
      <c r="A29" t="s">
        <v>38</v>
      </c>
      <c r="B29" s="19" t="s">
        <v>189</v>
      </c>
      <c r="C29">
        <f ca="1">_xll.ciqfunctions.udf.CIQ($B29,"IQ_CDS_mid",C$2)</f>
        <v>760.57230000000004</v>
      </c>
      <c r="D29">
        <f ca="1">_xll.ciqfunctions.udf.CIQ($B29,"IQ_CDS_mid",D$2)</f>
        <v>760.57230000000004</v>
      </c>
      <c r="E29">
        <f ca="1">_xll.ciqfunctions.udf.CIQ($B29,"IQ_CDS_mid",E$2)</f>
        <v>761.11260000000004</v>
      </c>
      <c r="F29">
        <f ca="1">_xll.ciqfunctions.udf.CIQ($B29,"IQ_CDS_mid",F$2)</f>
        <v>761.66399999999999</v>
      </c>
      <c r="G29">
        <f ca="1">_xll.ciqfunctions.udf.CIQ($B29,"IQ_CDS_mid",G$2)</f>
        <v>760.44730000000004</v>
      </c>
      <c r="H29">
        <f ca="1">_xll.ciqfunctions.udf.CIQ($B29,"IQ_CDS_mid",H$2)</f>
        <v>759.85569999999996</v>
      </c>
      <c r="I29">
        <f ca="1">_xll.ciqfunctions.udf.CIQ($B29,"IQ_CDS_mid",I$2)</f>
        <v>759.85569999999996</v>
      </c>
      <c r="J29">
        <f ca="1">_xll.ciqfunctions.udf.CIQ($B29,"IQ_CDS_mid",J$2)</f>
        <v>759.85569999999996</v>
      </c>
      <c r="K29">
        <f ca="1">_xll.ciqfunctions.udf.CIQ($B29,"IQ_CDS_mid",K$2)</f>
        <v>760.38520000000005</v>
      </c>
      <c r="L29">
        <f ca="1">_xll.ciqfunctions.udf.CIQ($B29,"IQ_CDS_mid",L$2)</f>
        <v>759.62519999999995</v>
      </c>
      <c r="M29">
        <f ca="1">_xll.ciqfunctions.udf.CIQ($B29,"IQ_CDS_mid",M$2)</f>
        <v>758.84529999999995</v>
      </c>
      <c r="N29">
        <f ca="1">_xll.ciqfunctions.udf.CIQ($B29,"IQ_CDS_mid",N$2)</f>
        <v>759.30550000000005</v>
      </c>
      <c r="O29">
        <f ca="1">_xll.ciqfunctions.udf.CIQ($B29,"IQ_CDS_mid",O$2)</f>
        <v>758.83259999999996</v>
      </c>
      <c r="P29">
        <f ca="1">_xll.ciqfunctions.udf.CIQ($B29,"IQ_CDS_mid",P$2)</f>
        <v>758.83259999999996</v>
      </c>
      <c r="Q29">
        <f ca="1">_xll.ciqfunctions.udf.CIQ($B29,"IQ_CDS_mid",Q$2)</f>
        <v>758.83259999999996</v>
      </c>
      <c r="R29">
        <f ca="1">_xll.ciqfunctions.udf.CIQ($B29,"IQ_CDS_mid",R$2)</f>
        <v>675.82069999999999</v>
      </c>
      <c r="S29">
        <f ca="1">_xll.ciqfunctions.udf.CIQ($B29,"IQ_CDS_mid",S$2)</f>
        <v>14787.329299999999</v>
      </c>
      <c r="T29">
        <f t="shared" ca="1" si="5"/>
        <v>0.71660000000008495</v>
      </c>
      <c r="U29">
        <f t="shared" ca="1" si="6"/>
        <v>1.7270000000000891</v>
      </c>
      <c r="V29">
        <f t="shared" ca="1" si="7"/>
        <v>1.7397000000000844</v>
      </c>
      <c r="W29">
        <f t="shared" ca="1" si="8"/>
        <v>84.751600000000053</v>
      </c>
      <c r="X29">
        <f t="shared" ca="1" si="0"/>
        <v>-14026.757</v>
      </c>
    </row>
    <row r="30" spans="1:24">
      <c r="A30" s="14" t="s">
        <v>39</v>
      </c>
      <c r="X30">
        <f t="shared" si="0"/>
        <v>0</v>
      </c>
    </row>
    <row r="31" spans="1:24">
      <c r="A31" t="s">
        <v>40</v>
      </c>
      <c r="B31" s="19" t="s">
        <v>190</v>
      </c>
      <c r="C31">
        <f ca="1">_xll.ciqfunctions.udf.CIQ($B31,"IQ_CDS_mid",C$2)</f>
        <v>14</v>
      </c>
      <c r="D31">
        <f ca="1">_xll.ciqfunctions.udf.CIQ($B31,"IQ_CDS_mid",D$2)</f>
        <v>14</v>
      </c>
      <c r="E31">
        <f ca="1">_xll.ciqfunctions.udf.CIQ($B31,"IQ_CDS_mid",E$2)</f>
        <v>14.125</v>
      </c>
      <c r="F31">
        <f ca="1">_xll.ciqfunctions.udf.CIQ($B31,"IQ_CDS_mid",F$2)</f>
        <v>14</v>
      </c>
      <c r="G31">
        <f ca="1">_xll.ciqfunctions.udf.CIQ($B31,"IQ_CDS_mid",G$2)</f>
        <v>13.9072</v>
      </c>
      <c r="H31">
        <f ca="1">_xll.ciqfunctions.udf.CIQ($B31,"IQ_CDS_mid",H$2)</f>
        <v>13.9459</v>
      </c>
      <c r="I31">
        <f ca="1">_xll.ciqfunctions.udf.CIQ($B31,"IQ_CDS_mid",I$2)</f>
        <v>13.9459</v>
      </c>
      <c r="J31">
        <f ca="1">_xll.ciqfunctions.udf.CIQ($B31,"IQ_CDS_mid",J$2)</f>
        <v>13.9459</v>
      </c>
      <c r="K31">
        <f ca="1">_xll.ciqfunctions.udf.CIQ($B31,"IQ_CDS_mid",K$2)</f>
        <v>14.0006</v>
      </c>
      <c r="L31">
        <f ca="1">_xll.ciqfunctions.udf.CIQ($B31,"IQ_CDS_mid",L$2)</f>
        <v>14.125</v>
      </c>
      <c r="M31">
        <f ca="1">_xll.ciqfunctions.udf.CIQ($B31,"IQ_CDS_mid",M$2)</f>
        <v>13.625</v>
      </c>
      <c r="N31">
        <f ca="1">_xll.ciqfunctions.udf.CIQ($B31,"IQ_CDS_mid",N$2)</f>
        <v>13.486599999999999</v>
      </c>
      <c r="O31">
        <f ca="1">_xll.ciqfunctions.udf.CIQ($B31,"IQ_CDS_mid",O$2)</f>
        <v>13.4581</v>
      </c>
      <c r="P31">
        <f ca="1">_xll.ciqfunctions.udf.CIQ($B31,"IQ_CDS_mid",P$2)</f>
        <v>13.4581</v>
      </c>
      <c r="Q31">
        <f ca="1">_xll.ciqfunctions.udf.CIQ($B31,"IQ_CDS_mid",Q$2)</f>
        <v>13.4581</v>
      </c>
      <c r="R31">
        <f ca="1">_xll.ciqfunctions.udf.CIQ($B31,"IQ_CDS_mid",R$2)</f>
        <v>14.005800000000001</v>
      </c>
      <c r="S31">
        <f ca="1">_xll.ciqfunctions.udf.CIQ($B31,"IQ_CDS_mid",S$2)</f>
        <v>10.648400000000001</v>
      </c>
      <c r="T31">
        <f t="shared" ref="T31:T40" ca="1" si="9">C31-H31</f>
        <v>5.4100000000000037E-2</v>
      </c>
      <c r="U31">
        <f t="shared" ref="U31:U40" ca="1" si="10">C31-M31</f>
        <v>0.375</v>
      </c>
      <c r="V31">
        <f t="shared" ref="V31:V40" ca="1" si="11">C31-Q31</f>
        <v>0.54190000000000005</v>
      </c>
      <c r="W31">
        <f t="shared" ref="W31:W40" ca="1" si="12">C31-R31</f>
        <v>-5.8000000000006935E-3</v>
      </c>
      <c r="X31">
        <f t="shared" ca="1" si="0"/>
        <v>3.3515999999999995</v>
      </c>
    </row>
    <row r="32" spans="1:24">
      <c r="A32" t="s">
        <v>41</v>
      </c>
      <c r="B32" s="19" t="s">
        <v>191</v>
      </c>
      <c r="C32">
        <f ca="1">_xll.ciqfunctions.udf.CIQ($B32,"IQ_CDS_mid",C$2)</f>
        <v>37.072899999999997</v>
      </c>
      <c r="D32">
        <f ca="1">_xll.ciqfunctions.udf.CIQ($B32,"IQ_CDS_mid",D$2)</f>
        <v>37.072899999999997</v>
      </c>
      <c r="E32">
        <f ca="1">_xll.ciqfunctions.udf.CIQ($B32,"IQ_CDS_mid",E$2)</f>
        <v>37.038600000000002</v>
      </c>
      <c r="F32">
        <f ca="1">_xll.ciqfunctions.udf.CIQ($B32,"IQ_CDS_mid",F$2)</f>
        <v>36.975900000000003</v>
      </c>
      <c r="G32">
        <f ca="1">_xll.ciqfunctions.udf.CIQ($B32,"IQ_CDS_mid",G$2)</f>
        <v>37.398899999999998</v>
      </c>
      <c r="H32">
        <f ca="1">_xll.ciqfunctions.udf.CIQ($B32,"IQ_CDS_mid",H$2)</f>
        <v>36.695399999999999</v>
      </c>
      <c r="I32">
        <f ca="1">_xll.ciqfunctions.udf.CIQ($B32,"IQ_CDS_mid",I$2)</f>
        <v>36.695399999999999</v>
      </c>
      <c r="J32">
        <f ca="1">_xll.ciqfunctions.udf.CIQ($B32,"IQ_CDS_mid",J$2)</f>
        <v>36.695399999999999</v>
      </c>
      <c r="K32">
        <f ca="1">_xll.ciqfunctions.udf.CIQ($B32,"IQ_CDS_mid",K$2)</f>
        <v>36.929299999999998</v>
      </c>
      <c r="L32">
        <f ca="1">_xll.ciqfunctions.udf.CIQ($B32,"IQ_CDS_mid",L$2)</f>
        <v>37.2605</v>
      </c>
      <c r="M32">
        <f ca="1">_xll.ciqfunctions.udf.CIQ($B32,"IQ_CDS_mid",M$2)</f>
        <v>36.8748</v>
      </c>
      <c r="N32">
        <f ca="1">_xll.ciqfunctions.udf.CIQ($B32,"IQ_CDS_mid",N$2)</f>
        <v>36.937399999999997</v>
      </c>
      <c r="O32">
        <f ca="1">_xll.ciqfunctions.udf.CIQ($B32,"IQ_CDS_mid",O$2)</f>
        <v>37.033099999999997</v>
      </c>
      <c r="P32">
        <f ca="1">_xll.ciqfunctions.udf.CIQ($B32,"IQ_CDS_mid",P$2)</f>
        <v>37.033099999999997</v>
      </c>
      <c r="Q32">
        <f ca="1">_xll.ciqfunctions.udf.CIQ($B32,"IQ_CDS_mid",Q$2)</f>
        <v>37.033099999999997</v>
      </c>
      <c r="R32">
        <f ca="1">_xll.ciqfunctions.udf.CIQ($B32,"IQ_CDS_mid",R$2)</f>
        <v>43.27</v>
      </c>
      <c r="S32">
        <f ca="1">_xll.ciqfunctions.udf.CIQ($B32,"IQ_CDS_mid",S$2)</f>
        <v>44.412799999999997</v>
      </c>
      <c r="T32">
        <f t="shared" ca="1" si="9"/>
        <v>0.37749999999999773</v>
      </c>
      <c r="U32">
        <f t="shared" ca="1" si="10"/>
        <v>0.19809999999999661</v>
      </c>
      <c r="V32">
        <f t="shared" ca="1" si="11"/>
        <v>3.9799999999999613E-2</v>
      </c>
      <c r="W32">
        <f t="shared" ca="1" si="12"/>
        <v>-6.197100000000006</v>
      </c>
      <c r="X32">
        <f t="shared" ca="1" si="0"/>
        <v>-7.3399000000000001</v>
      </c>
    </row>
    <row r="33" spans="1:24">
      <c r="A33" t="s">
        <v>42</v>
      </c>
      <c r="B33" s="19" t="s">
        <v>192</v>
      </c>
      <c r="C33">
        <f ca="1">_xll.ciqfunctions.udf.CIQ($B33,"IQ_CDS_mid",C$2)</f>
        <v>24.990600000000001</v>
      </c>
      <c r="D33">
        <f ca="1">_xll.ciqfunctions.udf.CIQ($B33,"IQ_CDS_mid",D$2)</f>
        <v>24.990600000000001</v>
      </c>
      <c r="E33">
        <f ca="1">_xll.ciqfunctions.udf.CIQ($B33,"IQ_CDS_mid",E$2)</f>
        <v>24.954799999999999</v>
      </c>
      <c r="F33">
        <f ca="1">_xll.ciqfunctions.udf.CIQ($B33,"IQ_CDS_mid",F$2)</f>
        <v>24.877199999999998</v>
      </c>
      <c r="G33">
        <f ca="1">_xll.ciqfunctions.udf.CIQ($B33,"IQ_CDS_mid",G$2)</f>
        <v>24.878</v>
      </c>
      <c r="H33">
        <f ca="1">_xll.ciqfunctions.udf.CIQ($B33,"IQ_CDS_mid",H$2)</f>
        <v>24.9191</v>
      </c>
      <c r="I33">
        <f ca="1">_xll.ciqfunctions.udf.CIQ($B33,"IQ_CDS_mid",I$2)</f>
        <v>24.9191</v>
      </c>
      <c r="J33">
        <f ca="1">_xll.ciqfunctions.udf.CIQ($B33,"IQ_CDS_mid",J$2)</f>
        <v>24.9191</v>
      </c>
      <c r="K33">
        <f ca="1">_xll.ciqfunctions.udf.CIQ($B33,"IQ_CDS_mid",K$2)</f>
        <v>24.851900000000001</v>
      </c>
      <c r="L33">
        <f ca="1">_xll.ciqfunctions.udf.CIQ($B33,"IQ_CDS_mid",L$2)</f>
        <v>24.862200000000001</v>
      </c>
      <c r="M33">
        <f ca="1">_xll.ciqfunctions.udf.CIQ($B33,"IQ_CDS_mid",M$2)</f>
        <v>24.908899999999999</v>
      </c>
      <c r="N33">
        <f ca="1">_xll.ciqfunctions.udf.CIQ($B33,"IQ_CDS_mid",N$2)</f>
        <v>24.852499999999999</v>
      </c>
      <c r="O33">
        <f ca="1">_xll.ciqfunctions.udf.CIQ($B33,"IQ_CDS_mid",O$2)</f>
        <v>24.883500000000002</v>
      </c>
      <c r="P33">
        <f ca="1">_xll.ciqfunctions.udf.CIQ($B33,"IQ_CDS_mid",P$2)</f>
        <v>24.883500000000002</v>
      </c>
      <c r="Q33">
        <f ca="1">_xll.ciqfunctions.udf.CIQ($B33,"IQ_CDS_mid",Q$2)</f>
        <v>24.883500000000002</v>
      </c>
      <c r="R33">
        <f ca="1">_xll.ciqfunctions.udf.CIQ($B33,"IQ_CDS_mid",R$2)</f>
        <v>26.0365</v>
      </c>
      <c r="S33">
        <f ca="1">_xll.ciqfunctions.udf.CIQ($B33,"IQ_CDS_mid",S$2)</f>
        <v>34.512799999999999</v>
      </c>
      <c r="T33">
        <f t="shared" ca="1" si="9"/>
        <v>7.1500000000000341E-2</v>
      </c>
      <c r="U33">
        <f t="shared" ca="1" si="10"/>
        <v>8.1700000000001438E-2</v>
      </c>
      <c r="V33">
        <f t="shared" ca="1" si="11"/>
        <v>0.10709999999999908</v>
      </c>
      <c r="W33">
        <f t="shared" ca="1" si="12"/>
        <v>-1.0458999999999996</v>
      </c>
      <c r="X33">
        <f t="shared" ca="1" si="0"/>
        <v>-9.522199999999998</v>
      </c>
    </row>
    <row r="34" spans="1:24">
      <c r="A34" t="s">
        <v>43</v>
      </c>
      <c r="B34" s="19" t="s">
        <v>193</v>
      </c>
      <c r="C34">
        <f ca="1">_xll.ciqfunctions.udf.CIQ($B34,"IQ_CDS_mid",C$2)</f>
        <v>0</v>
      </c>
      <c r="D34">
        <f ca="1">_xll.ciqfunctions.udf.CIQ($B34,"IQ_CDS_mid",D$2)</f>
        <v>0</v>
      </c>
      <c r="E34">
        <f ca="1">_xll.ciqfunctions.udf.CIQ($B34,"IQ_CDS_mid",E$2)</f>
        <v>0</v>
      </c>
      <c r="F34">
        <f ca="1">_xll.ciqfunctions.udf.CIQ($B34,"IQ_CDS_mid",F$2)</f>
        <v>0</v>
      </c>
      <c r="G34">
        <f ca="1">_xll.ciqfunctions.udf.CIQ($B34,"IQ_CDS_mid",G$2)</f>
        <v>0</v>
      </c>
      <c r="H34">
        <f ca="1">_xll.ciqfunctions.udf.CIQ($B34,"IQ_CDS_mid",H$2)</f>
        <v>0</v>
      </c>
      <c r="I34">
        <f ca="1">_xll.ciqfunctions.udf.CIQ($B34,"IQ_CDS_mid",I$2)</f>
        <v>0</v>
      </c>
      <c r="J34">
        <f ca="1">_xll.ciqfunctions.udf.CIQ($B34,"IQ_CDS_mid",J$2)</f>
        <v>0</v>
      </c>
      <c r="K34">
        <f ca="1">_xll.ciqfunctions.udf.CIQ($B34,"IQ_CDS_mid",K$2)</f>
        <v>0</v>
      </c>
      <c r="L34">
        <f ca="1">_xll.ciqfunctions.udf.CIQ($B34,"IQ_CDS_mid",L$2)</f>
        <v>0</v>
      </c>
      <c r="M34">
        <f ca="1">_xll.ciqfunctions.udf.CIQ($B34,"IQ_CDS_mid",M$2)</f>
        <v>0</v>
      </c>
      <c r="N34">
        <f ca="1">_xll.ciqfunctions.udf.CIQ($B34,"IQ_CDS_mid",N$2)</f>
        <v>0</v>
      </c>
      <c r="O34">
        <f ca="1">_xll.ciqfunctions.udf.CIQ($B34,"IQ_CDS_mid",O$2)</f>
        <v>0</v>
      </c>
      <c r="P34">
        <f ca="1">_xll.ciqfunctions.udf.CIQ($B34,"IQ_CDS_mid",P$2)</f>
        <v>0</v>
      </c>
      <c r="Q34">
        <f ca="1">_xll.ciqfunctions.udf.CIQ($B34,"IQ_CDS_mid",Q$2)</f>
        <v>0</v>
      </c>
      <c r="R34">
        <f ca="1">_xll.ciqfunctions.udf.CIQ($B34,"IQ_CDS_mid",R$2)</f>
        <v>0</v>
      </c>
      <c r="S34">
        <f ca="1">_xll.ciqfunctions.udf.CIQ($B34,"IQ_CDS_mid",S$2)</f>
        <v>46.486499999999999</v>
      </c>
      <c r="T34">
        <f t="shared" ca="1" si="9"/>
        <v>0</v>
      </c>
      <c r="U34">
        <f t="shared" ca="1" si="10"/>
        <v>0</v>
      </c>
      <c r="V34">
        <f t="shared" ca="1" si="11"/>
        <v>0</v>
      </c>
      <c r="W34">
        <f t="shared" ca="1" si="12"/>
        <v>0</v>
      </c>
      <c r="X34">
        <f t="shared" ca="1" si="0"/>
        <v>-46.486499999999999</v>
      </c>
    </row>
    <row r="35" spans="1:24">
      <c r="A35" t="s">
        <v>44</v>
      </c>
      <c r="B35" s="19" t="s">
        <v>194</v>
      </c>
      <c r="C35">
        <f ca="1">_xll.ciqfunctions.udf.CIQ($B35,"IQ_CDS_mid",C$2)</f>
        <v>26.485600000000002</v>
      </c>
      <c r="D35">
        <f ca="1">_xll.ciqfunctions.udf.CIQ($B35,"IQ_CDS_mid",D$2)</f>
        <v>26.485600000000002</v>
      </c>
      <c r="E35">
        <f ca="1">_xll.ciqfunctions.udf.CIQ($B35,"IQ_CDS_mid",E$2)</f>
        <v>26.411000000000001</v>
      </c>
      <c r="F35">
        <f ca="1">_xll.ciqfunctions.udf.CIQ($B35,"IQ_CDS_mid",F$2)</f>
        <v>26.5886</v>
      </c>
      <c r="G35">
        <f ca="1">_xll.ciqfunctions.udf.CIQ($B35,"IQ_CDS_mid",G$2)</f>
        <v>26.679099999999998</v>
      </c>
      <c r="H35">
        <f ca="1">_xll.ciqfunctions.udf.CIQ($B35,"IQ_CDS_mid",H$2)</f>
        <v>26.516300000000001</v>
      </c>
      <c r="I35">
        <f ca="1">_xll.ciqfunctions.udf.CIQ($B35,"IQ_CDS_mid",I$2)</f>
        <v>26.516300000000001</v>
      </c>
      <c r="J35">
        <f ca="1">_xll.ciqfunctions.udf.CIQ($B35,"IQ_CDS_mid",J$2)</f>
        <v>26.516300000000001</v>
      </c>
      <c r="K35">
        <f ca="1">_xll.ciqfunctions.udf.CIQ($B35,"IQ_CDS_mid",K$2)</f>
        <v>26.583300000000001</v>
      </c>
      <c r="L35">
        <f ca="1">_xll.ciqfunctions.udf.CIQ($B35,"IQ_CDS_mid",L$2)</f>
        <v>26.758700000000001</v>
      </c>
      <c r="M35">
        <f ca="1">_xll.ciqfunctions.udf.CIQ($B35,"IQ_CDS_mid",M$2)</f>
        <v>26.545400000000001</v>
      </c>
      <c r="N35">
        <f ca="1">_xll.ciqfunctions.udf.CIQ($B35,"IQ_CDS_mid",N$2)</f>
        <v>26.733899999999998</v>
      </c>
      <c r="O35">
        <f ca="1">_xll.ciqfunctions.udf.CIQ($B35,"IQ_CDS_mid",O$2)</f>
        <v>26.638300000000001</v>
      </c>
      <c r="P35">
        <f ca="1">_xll.ciqfunctions.udf.CIQ($B35,"IQ_CDS_mid",P$2)</f>
        <v>26.638300000000001</v>
      </c>
      <c r="Q35">
        <f ca="1">_xll.ciqfunctions.udf.CIQ($B35,"IQ_CDS_mid",Q$2)</f>
        <v>26.638300000000001</v>
      </c>
      <c r="R35">
        <f ca="1">_xll.ciqfunctions.udf.CIQ($B35,"IQ_CDS_mid",R$2)</f>
        <v>27.519100000000002</v>
      </c>
      <c r="S35">
        <f ca="1">_xll.ciqfunctions.udf.CIQ($B35,"IQ_CDS_mid",S$2)</f>
        <v>20.962599999999998</v>
      </c>
      <c r="T35">
        <f t="shared" ca="1" si="9"/>
        <v>-3.0699999999999505E-2</v>
      </c>
      <c r="U35">
        <f t="shared" ca="1" si="10"/>
        <v>-5.9799999999999187E-2</v>
      </c>
      <c r="V35">
        <f t="shared" ca="1" si="11"/>
        <v>-0.15269999999999939</v>
      </c>
      <c r="W35">
        <f t="shared" ca="1" si="12"/>
        <v>-1.0335000000000001</v>
      </c>
      <c r="X35">
        <f t="shared" ca="1" si="0"/>
        <v>5.5230000000000032</v>
      </c>
    </row>
    <row r="36" spans="1:24">
      <c r="A36" t="s">
        <v>45</v>
      </c>
      <c r="B36" s="19" t="s">
        <v>195</v>
      </c>
      <c r="C36">
        <f ca="1">_xll.ciqfunctions.udf.CIQ($B36,"IQ_CDS_mid",C$2)</f>
        <v>36.674999999999997</v>
      </c>
      <c r="D36">
        <f ca="1">_xll.ciqfunctions.udf.CIQ($B36,"IQ_CDS_mid",D$2)</f>
        <v>36.674999999999997</v>
      </c>
      <c r="E36">
        <f ca="1">_xll.ciqfunctions.udf.CIQ($B36,"IQ_CDS_mid",E$2)</f>
        <v>36.93</v>
      </c>
      <c r="F36">
        <f ca="1">_xll.ciqfunctions.udf.CIQ($B36,"IQ_CDS_mid",F$2)</f>
        <v>37.049999999999997</v>
      </c>
      <c r="G36">
        <f ca="1">_xll.ciqfunctions.udf.CIQ($B36,"IQ_CDS_mid",G$2)</f>
        <v>36.887300000000003</v>
      </c>
      <c r="H36">
        <f ca="1">_xll.ciqfunctions.udf.CIQ($B36,"IQ_CDS_mid",H$2)</f>
        <v>36.557200000000002</v>
      </c>
      <c r="I36">
        <f ca="1">_xll.ciqfunctions.udf.CIQ($B36,"IQ_CDS_mid",I$2)</f>
        <v>36.557200000000002</v>
      </c>
      <c r="J36">
        <f ca="1">_xll.ciqfunctions.udf.CIQ($B36,"IQ_CDS_mid",J$2)</f>
        <v>36.557200000000002</v>
      </c>
      <c r="K36">
        <f ca="1">_xll.ciqfunctions.udf.CIQ($B36,"IQ_CDS_mid",K$2)</f>
        <v>36.967799999999997</v>
      </c>
      <c r="L36">
        <f ca="1">_xll.ciqfunctions.udf.CIQ($B36,"IQ_CDS_mid",L$2)</f>
        <v>36.9542</v>
      </c>
      <c r="M36">
        <f ca="1">_xll.ciqfunctions.udf.CIQ($B36,"IQ_CDS_mid",M$2)</f>
        <v>36.415100000000002</v>
      </c>
      <c r="N36">
        <f ca="1">_xll.ciqfunctions.udf.CIQ($B36,"IQ_CDS_mid",N$2)</f>
        <v>37.087499999999999</v>
      </c>
      <c r="O36">
        <f ca="1">_xll.ciqfunctions.udf.CIQ($B36,"IQ_CDS_mid",O$2)</f>
        <v>37.412500000000001</v>
      </c>
      <c r="P36">
        <f ca="1">_xll.ciqfunctions.udf.CIQ($B36,"IQ_CDS_mid",P$2)</f>
        <v>37.412500000000001</v>
      </c>
      <c r="Q36">
        <f ca="1">_xll.ciqfunctions.udf.CIQ($B36,"IQ_CDS_mid",Q$2)</f>
        <v>37.412500000000001</v>
      </c>
      <c r="R36">
        <f ca="1">_xll.ciqfunctions.udf.CIQ($B36,"IQ_CDS_mid",R$2)</f>
        <v>37.296700000000001</v>
      </c>
      <c r="S36">
        <f ca="1">_xll.ciqfunctions.udf.CIQ($B36,"IQ_CDS_mid",S$2)</f>
        <v>42.689900000000002</v>
      </c>
      <c r="T36">
        <f t="shared" ca="1" si="9"/>
        <v>0.11779999999999546</v>
      </c>
      <c r="U36">
        <f t="shared" ca="1" si="10"/>
        <v>0.25989999999999469</v>
      </c>
      <c r="V36">
        <f t="shared" ca="1" si="11"/>
        <v>-0.73750000000000426</v>
      </c>
      <c r="W36">
        <f t="shared" ca="1" si="12"/>
        <v>-0.62170000000000414</v>
      </c>
      <c r="X36">
        <f t="shared" ca="1" si="0"/>
        <v>-6.0149000000000044</v>
      </c>
    </row>
    <row r="37" spans="1:24">
      <c r="A37" t="s">
        <v>46</v>
      </c>
      <c r="B37" s="19" t="s">
        <v>196</v>
      </c>
      <c r="C37">
        <f ca="1">_xll.ciqfunctions.udf.CIQ($B37,"IQ_CDS_mid",C$2)</f>
        <v>15.0625</v>
      </c>
      <c r="D37">
        <f ca="1">_xll.ciqfunctions.udf.CIQ($B37,"IQ_CDS_mid",D$2)</f>
        <v>15.0625</v>
      </c>
      <c r="E37">
        <f ca="1">_xll.ciqfunctions.udf.CIQ($B37,"IQ_CDS_mid",E$2)</f>
        <v>15</v>
      </c>
      <c r="F37">
        <f ca="1">_xll.ciqfunctions.udf.CIQ($B37,"IQ_CDS_mid",F$2)</f>
        <v>14.9535</v>
      </c>
      <c r="G37">
        <f ca="1">_xll.ciqfunctions.udf.CIQ($B37,"IQ_CDS_mid",G$2)</f>
        <v>14.973000000000001</v>
      </c>
      <c r="H37">
        <f ca="1">_xll.ciqfunctions.udf.CIQ($B37,"IQ_CDS_mid",H$2)</f>
        <v>15.000500000000001</v>
      </c>
      <c r="I37">
        <f ca="1">_xll.ciqfunctions.udf.CIQ($B37,"IQ_CDS_mid",I$2)</f>
        <v>15.000500000000001</v>
      </c>
      <c r="J37">
        <f ca="1">_xll.ciqfunctions.udf.CIQ($B37,"IQ_CDS_mid",J$2)</f>
        <v>15.000500000000001</v>
      </c>
      <c r="K37">
        <f ca="1">_xll.ciqfunctions.udf.CIQ($B37,"IQ_CDS_mid",K$2)</f>
        <v>15.0625</v>
      </c>
      <c r="L37">
        <f ca="1">_xll.ciqfunctions.udf.CIQ($B37,"IQ_CDS_mid",L$2)</f>
        <v>14.8125</v>
      </c>
      <c r="M37">
        <f ca="1">_xll.ciqfunctions.udf.CIQ($B37,"IQ_CDS_mid",M$2)</f>
        <v>14.743499999999999</v>
      </c>
      <c r="N37">
        <f ca="1">_xll.ciqfunctions.udf.CIQ($B37,"IQ_CDS_mid",N$2)</f>
        <v>14.978999999999999</v>
      </c>
      <c r="O37">
        <f ca="1">_xll.ciqfunctions.udf.CIQ($B37,"IQ_CDS_mid",O$2)</f>
        <v>14.9895</v>
      </c>
      <c r="P37">
        <f ca="1">_xll.ciqfunctions.udf.CIQ($B37,"IQ_CDS_mid",P$2)</f>
        <v>14.9895</v>
      </c>
      <c r="Q37">
        <f ca="1">_xll.ciqfunctions.udf.CIQ($B37,"IQ_CDS_mid",Q$2)</f>
        <v>14.9895</v>
      </c>
      <c r="R37">
        <f ca="1">_xll.ciqfunctions.udf.CIQ($B37,"IQ_CDS_mid",R$2)</f>
        <v>15.753</v>
      </c>
      <c r="S37">
        <f ca="1">_xll.ciqfunctions.udf.CIQ($B37,"IQ_CDS_mid",S$2)</f>
        <v>14.035500000000001</v>
      </c>
      <c r="T37">
        <f t="shared" ca="1" si="9"/>
        <v>6.1999999999999389E-2</v>
      </c>
      <c r="U37">
        <f t="shared" ca="1" si="10"/>
        <v>0.31900000000000084</v>
      </c>
      <c r="V37">
        <f t="shared" ca="1" si="11"/>
        <v>7.3000000000000398E-2</v>
      </c>
      <c r="W37">
        <f t="shared" ca="1" si="12"/>
        <v>-0.69050000000000011</v>
      </c>
      <c r="X37">
        <f t="shared" ca="1" si="0"/>
        <v>1.0269999999999992</v>
      </c>
    </row>
    <row r="38" spans="1:24">
      <c r="A38" t="s">
        <v>47</v>
      </c>
      <c r="B38" s="19" t="s">
        <v>197</v>
      </c>
      <c r="C38">
        <f ca="1">_xll.ciqfunctions.udf.CIQ($B38,"IQ_CDS_mid",C$2)</f>
        <v>0</v>
      </c>
      <c r="D38">
        <f ca="1">_xll.ciqfunctions.udf.CIQ($B38,"IQ_CDS_mid",D$2)</f>
        <v>0</v>
      </c>
      <c r="E38">
        <f ca="1">_xll.ciqfunctions.udf.CIQ($B38,"IQ_CDS_mid",E$2)</f>
        <v>0</v>
      </c>
      <c r="F38">
        <f ca="1">_xll.ciqfunctions.udf.CIQ($B38,"IQ_CDS_mid",F$2)</f>
        <v>0</v>
      </c>
      <c r="G38">
        <f ca="1">_xll.ciqfunctions.udf.CIQ($B38,"IQ_CDS_mid",G$2)</f>
        <v>0</v>
      </c>
      <c r="H38">
        <f ca="1">_xll.ciqfunctions.udf.CIQ($B38,"IQ_CDS_mid",H$2)</f>
        <v>0</v>
      </c>
      <c r="I38">
        <f ca="1">_xll.ciqfunctions.udf.CIQ($B38,"IQ_CDS_mid",I$2)</f>
        <v>0</v>
      </c>
      <c r="J38">
        <f ca="1">_xll.ciqfunctions.udf.CIQ($B38,"IQ_CDS_mid",J$2)</f>
        <v>0</v>
      </c>
      <c r="K38">
        <f ca="1">_xll.ciqfunctions.udf.CIQ($B38,"IQ_CDS_mid",K$2)</f>
        <v>0</v>
      </c>
      <c r="L38">
        <f ca="1">_xll.ciqfunctions.udf.CIQ($B38,"IQ_CDS_mid",L$2)</f>
        <v>0</v>
      </c>
      <c r="M38">
        <f ca="1">_xll.ciqfunctions.udf.CIQ($B38,"IQ_CDS_mid",M$2)</f>
        <v>0</v>
      </c>
      <c r="N38">
        <f ca="1">_xll.ciqfunctions.udf.CIQ($B38,"IQ_CDS_mid",N$2)</f>
        <v>0</v>
      </c>
      <c r="O38">
        <f ca="1">_xll.ciqfunctions.udf.CIQ($B38,"IQ_CDS_mid",O$2)</f>
        <v>0</v>
      </c>
      <c r="P38">
        <f ca="1">_xll.ciqfunctions.udf.CIQ($B38,"IQ_CDS_mid",P$2)</f>
        <v>0</v>
      </c>
      <c r="Q38">
        <f ca="1">_xll.ciqfunctions.udf.CIQ($B38,"IQ_CDS_mid",Q$2)</f>
        <v>0</v>
      </c>
      <c r="R38">
        <f ca="1">_xll.ciqfunctions.udf.CIQ($B38,"IQ_CDS_mid",R$2)</f>
        <v>0</v>
      </c>
      <c r="S38">
        <f ca="1">_xll.ciqfunctions.udf.CIQ($B38,"IQ_CDS_mid",S$2)</f>
        <v>0</v>
      </c>
      <c r="T38">
        <f t="shared" ca="1" si="9"/>
        <v>0</v>
      </c>
      <c r="U38">
        <f t="shared" ca="1" si="10"/>
        <v>0</v>
      </c>
      <c r="V38">
        <f t="shared" ca="1" si="11"/>
        <v>0</v>
      </c>
      <c r="W38">
        <f t="shared" ca="1" si="12"/>
        <v>0</v>
      </c>
      <c r="X38">
        <f t="shared" ca="1" si="0"/>
        <v>0</v>
      </c>
    </row>
    <row r="39" spans="1:24">
      <c r="A39" t="s">
        <v>48</v>
      </c>
      <c r="B39" s="19" t="s">
        <v>198</v>
      </c>
      <c r="C39">
        <f ca="1">_xll.ciqfunctions.udf.CIQ($B39,"IQ_CDS_mid",C$2)</f>
        <v>0</v>
      </c>
      <c r="D39">
        <f ca="1">_xll.ciqfunctions.udf.CIQ($B39,"IQ_CDS_mid",D$2)</f>
        <v>0</v>
      </c>
      <c r="E39">
        <f ca="1">_xll.ciqfunctions.udf.CIQ($B39,"IQ_CDS_mid",E$2)</f>
        <v>0</v>
      </c>
      <c r="F39">
        <f ca="1">_xll.ciqfunctions.udf.CIQ($B39,"IQ_CDS_mid",F$2)</f>
        <v>0</v>
      </c>
      <c r="G39">
        <f ca="1">_xll.ciqfunctions.udf.CIQ($B39,"IQ_CDS_mid",G$2)</f>
        <v>0</v>
      </c>
      <c r="H39">
        <f ca="1">_xll.ciqfunctions.udf.CIQ($B39,"IQ_CDS_mid",H$2)</f>
        <v>0</v>
      </c>
      <c r="I39">
        <f ca="1">_xll.ciqfunctions.udf.CIQ($B39,"IQ_CDS_mid",I$2)</f>
        <v>0</v>
      </c>
      <c r="J39">
        <f ca="1">_xll.ciqfunctions.udf.CIQ($B39,"IQ_CDS_mid",J$2)</f>
        <v>0</v>
      </c>
      <c r="K39">
        <f ca="1">_xll.ciqfunctions.udf.CIQ($B39,"IQ_CDS_mid",K$2)</f>
        <v>0</v>
      </c>
      <c r="L39">
        <f ca="1">_xll.ciqfunctions.udf.CIQ($B39,"IQ_CDS_mid",L$2)</f>
        <v>0</v>
      </c>
      <c r="M39">
        <f ca="1">_xll.ciqfunctions.udf.CIQ($B39,"IQ_CDS_mid",M$2)</f>
        <v>0</v>
      </c>
      <c r="N39">
        <f ca="1">_xll.ciqfunctions.udf.CIQ($B39,"IQ_CDS_mid",N$2)</f>
        <v>0</v>
      </c>
      <c r="O39">
        <f ca="1">_xll.ciqfunctions.udf.CIQ($B39,"IQ_CDS_mid",O$2)</f>
        <v>0</v>
      </c>
      <c r="P39">
        <f ca="1">_xll.ciqfunctions.udf.CIQ($B39,"IQ_CDS_mid",P$2)</f>
        <v>0</v>
      </c>
      <c r="Q39">
        <f ca="1">_xll.ciqfunctions.udf.CIQ($B39,"IQ_CDS_mid",Q$2)</f>
        <v>0</v>
      </c>
      <c r="R39">
        <f ca="1">_xll.ciqfunctions.udf.CIQ($B39,"IQ_CDS_mid",R$2)</f>
        <v>2.3334000000000001</v>
      </c>
      <c r="S39">
        <f ca="1">_xll.ciqfunctions.udf.CIQ($B39,"IQ_CDS_mid",S$2)</f>
        <v>2.1778</v>
      </c>
      <c r="T39">
        <f t="shared" ca="1" si="9"/>
        <v>0</v>
      </c>
      <c r="U39">
        <f t="shared" ca="1" si="10"/>
        <v>0</v>
      </c>
      <c r="V39">
        <f t="shared" ca="1" si="11"/>
        <v>0</v>
      </c>
      <c r="W39">
        <f t="shared" ca="1" si="12"/>
        <v>-2.3334000000000001</v>
      </c>
      <c r="X39">
        <f t="shared" ca="1" si="0"/>
        <v>-2.1778</v>
      </c>
    </row>
    <row r="40" spans="1:24">
      <c r="A40" t="s">
        <v>49</v>
      </c>
      <c r="B40" s="19" t="s">
        <v>199</v>
      </c>
      <c r="C40">
        <f ca="1">_xll.ciqfunctions.udf.CIQ($B40,"IQ_CDS_mid",C$2)</f>
        <v>22.418299999999999</v>
      </c>
      <c r="D40">
        <f ca="1">_xll.ciqfunctions.udf.CIQ($B40,"IQ_CDS_mid",D$2)</f>
        <v>22.418299999999999</v>
      </c>
      <c r="E40">
        <f ca="1">_xll.ciqfunctions.udf.CIQ($B40,"IQ_CDS_mid",E$2)</f>
        <v>22.656300000000002</v>
      </c>
      <c r="F40">
        <f ca="1">_xll.ciqfunctions.udf.CIQ($B40,"IQ_CDS_mid",F$2)</f>
        <v>22.5258</v>
      </c>
      <c r="G40">
        <f ca="1">_xll.ciqfunctions.udf.CIQ($B40,"IQ_CDS_mid",G$2)</f>
        <v>22.773399999999999</v>
      </c>
      <c r="H40">
        <f ca="1">_xll.ciqfunctions.udf.CIQ($B40,"IQ_CDS_mid",H$2)</f>
        <v>22.1066</v>
      </c>
      <c r="I40">
        <f ca="1">_xll.ciqfunctions.udf.CIQ($B40,"IQ_CDS_mid",I$2)</f>
        <v>22.1066</v>
      </c>
      <c r="J40">
        <f ca="1">_xll.ciqfunctions.udf.CIQ($B40,"IQ_CDS_mid",J$2)</f>
        <v>22.1066</v>
      </c>
      <c r="K40">
        <f ca="1">_xll.ciqfunctions.udf.CIQ($B40,"IQ_CDS_mid",K$2)</f>
        <v>22.523599999999998</v>
      </c>
      <c r="L40">
        <f ca="1">_xll.ciqfunctions.udf.CIQ($B40,"IQ_CDS_mid",L$2)</f>
        <v>22.468800000000002</v>
      </c>
      <c r="M40">
        <f ca="1">_xll.ciqfunctions.udf.CIQ($B40,"IQ_CDS_mid",M$2)</f>
        <v>22.1465</v>
      </c>
      <c r="N40">
        <f ca="1">_xll.ciqfunctions.udf.CIQ($B40,"IQ_CDS_mid",N$2)</f>
        <v>22.063099999999999</v>
      </c>
      <c r="O40">
        <f ca="1">_xll.ciqfunctions.udf.CIQ($B40,"IQ_CDS_mid",O$2)</f>
        <v>22.3004</v>
      </c>
      <c r="P40">
        <f ca="1">_xll.ciqfunctions.udf.CIQ($B40,"IQ_CDS_mid",P$2)</f>
        <v>22.3004</v>
      </c>
      <c r="Q40">
        <f ca="1">_xll.ciqfunctions.udf.CIQ($B40,"IQ_CDS_mid",Q$2)</f>
        <v>22.3004</v>
      </c>
      <c r="R40">
        <f ca="1">_xll.ciqfunctions.udf.CIQ($B40,"IQ_CDS_mid",R$2)</f>
        <v>29.3767</v>
      </c>
      <c r="S40">
        <f ca="1">_xll.ciqfunctions.udf.CIQ($B40,"IQ_CDS_mid",S$2)</f>
        <v>24.110800000000001</v>
      </c>
      <c r="T40">
        <f t="shared" ca="1" si="9"/>
        <v>0.31169999999999831</v>
      </c>
      <c r="U40">
        <f t="shared" ca="1" si="10"/>
        <v>0.27179999999999893</v>
      </c>
      <c r="V40">
        <f t="shared" ca="1" si="11"/>
        <v>0.11789999999999878</v>
      </c>
      <c r="W40">
        <f t="shared" ca="1" si="12"/>
        <v>-6.958400000000001</v>
      </c>
      <c r="X40">
        <f t="shared" ca="1" si="0"/>
        <v>-1.6925000000000026</v>
      </c>
    </row>
    <row r="41" spans="1:24">
      <c r="A41" t="s">
        <v>50</v>
      </c>
      <c r="B41" s="19"/>
    </row>
    <row r="42" spans="1:24">
      <c r="A42" t="s">
        <v>51</v>
      </c>
      <c r="B42" s="19" t="s">
        <v>200</v>
      </c>
      <c r="C42">
        <f ca="1">_xll.ciqfunctions.udf.CIQ($B42,"IQ_CDS_mid",C$2)</f>
        <v>41.8125</v>
      </c>
      <c r="D42">
        <f ca="1">_xll.ciqfunctions.udf.CIQ($B42,"IQ_CDS_mid",D$2)</f>
        <v>41.8125</v>
      </c>
      <c r="E42">
        <f ca="1">_xll.ciqfunctions.udf.CIQ($B42,"IQ_CDS_mid",E$2)</f>
        <v>41.8157</v>
      </c>
      <c r="F42">
        <f ca="1">_xll.ciqfunctions.udf.CIQ($B42,"IQ_CDS_mid",F$2)</f>
        <v>41.998699999999999</v>
      </c>
      <c r="G42">
        <f ca="1">_xll.ciqfunctions.udf.CIQ($B42,"IQ_CDS_mid",G$2)</f>
        <v>41.367800000000003</v>
      </c>
      <c r="H42">
        <f ca="1">_xll.ciqfunctions.udf.CIQ($B42,"IQ_CDS_mid",H$2)</f>
        <v>41.106400000000001</v>
      </c>
      <c r="I42">
        <f ca="1">_xll.ciqfunctions.udf.CIQ($B42,"IQ_CDS_mid",I$2)</f>
        <v>41.106400000000001</v>
      </c>
      <c r="J42">
        <f ca="1">_xll.ciqfunctions.udf.CIQ($B42,"IQ_CDS_mid",J$2)</f>
        <v>41.106400000000001</v>
      </c>
      <c r="K42">
        <f ca="1">_xll.ciqfunctions.udf.CIQ($B42,"IQ_CDS_mid",K$2)</f>
        <v>41.616799999999998</v>
      </c>
      <c r="L42">
        <f ca="1">_xll.ciqfunctions.udf.CIQ($B42,"IQ_CDS_mid",L$2)</f>
        <v>41.725700000000003</v>
      </c>
      <c r="M42">
        <f ca="1">_xll.ciqfunctions.udf.CIQ($B42,"IQ_CDS_mid",M$2)</f>
        <v>40.25</v>
      </c>
      <c r="N42">
        <f ca="1">_xll.ciqfunctions.udf.CIQ($B42,"IQ_CDS_mid",N$2)</f>
        <v>40.208300000000001</v>
      </c>
      <c r="O42">
        <f ca="1">_xll.ciqfunctions.udf.CIQ($B42,"IQ_CDS_mid",O$2)</f>
        <v>40</v>
      </c>
      <c r="P42">
        <f ca="1">_xll.ciqfunctions.udf.CIQ($B42,"IQ_CDS_mid",P$2)</f>
        <v>40</v>
      </c>
      <c r="Q42">
        <f ca="1">_xll.ciqfunctions.udf.CIQ($B42,"IQ_CDS_mid",Q$2)</f>
        <v>40</v>
      </c>
      <c r="R42">
        <f ca="1">_xll.ciqfunctions.udf.CIQ($B42,"IQ_CDS_mid",R$2)</f>
        <v>48.829300000000003</v>
      </c>
      <c r="S42">
        <f ca="1">_xll.ciqfunctions.udf.CIQ($B42,"IQ_CDS_mid",S$2)</f>
        <v>43.128599999999999</v>
      </c>
      <c r="T42">
        <f ca="1">C42-H42</f>
        <v>0.70609999999999928</v>
      </c>
      <c r="U42">
        <f ca="1">C42-M42</f>
        <v>1.5625</v>
      </c>
      <c r="V42">
        <f ca="1">C42-Q42</f>
        <v>1.8125</v>
      </c>
      <c r="W42">
        <f ca="1">C42-R42</f>
        <v>-7.0168000000000035</v>
      </c>
      <c r="X42">
        <f t="shared" ref="X42:X84" ca="1" si="13">C42-S42</f>
        <v>-1.3160999999999987</v>
      </c>
    </row>
    <row r="43" spans="1:24">
      <c r="A43" s="14" t="s">
        <v>52</v>
      </c>
      <c r="X43">
        <f t="shared" si="13"/>
        <v>0</v>
      </c>
    </row>
    <row r="44" spans="1:24">
      <c r="A44" t="s">
        <v>53</v>
      </c>
      <c r="B44" t="s">
        <v>209</v>
      </c>
      <c r="C44">
        <f ca="1">_xll.ciqfunctions.udf.CIQ($B44,"IQ_CDS_mid",C$2)</f>
        <v>125.64</v>
      </c>
      <c r="D44">
        <f ca="1">_xll.ciqfunctions.udf.CIQ($B44,"IQ_CDS_mid",D$2)</f>
        <v>125.64</v>
      </c>
      <c r="E44">
        <f ca="1">_xll.ciqfunctions.udf.CIQ($B44,"IQ_CDS_mid",E$2)</f>
        <v>124.84229999999999</v>
      </c>
      <c r="F44">
        <f ca="1">_xll.ciqfunctions.udf.CIQ($B44,"IQ_CDS_mid",F$2)</f>
        <v>124.8592</v>
      </c>
      <c r="G44">
        <f ca="1">_xll.ciqfunctions.udf.CIQ($B44,"IQ_CDS_mid",G$2)</f>
        <v>124.38160000000001</v>
      </c>
      <c r="H44">
        <f ca="1">_xll.ciqfunctions.udf.CIQ($B44,"IQ_CDS_mid",H$2)</f>
        <v>123.3378</v>
      </c>
      <c r="I44">
        <f ca="1">_xll.ciqfunctions.udf.CIQ($B44,"IQ_CDS_mid",I$2)</f>
        <v>123.3378</v>
      </c>
      <c r="J44">
        <f ca="1">_xll.ciqfunctions.udf.CIQ($B44,"IQ_CDS_mid",J$2)</f>
        <v>123.3378</v>
      </c>
      <c r="K44">
        <f ca="1">_xll.ciqfunctions.udf.CIQ($B44,"IQ_CDS_mid",K$2)</f>
        <v>124.2064</v>
      </c>
      <c r="L44">
        <f ca="1">_xll.ciqfunctions.udf.CIQ($B44,"IQ_CDS_mid",L$2)</f>
        <v>125.25369999999999</v>
      </c>
      <c r="M44">
        <f ca="1">_xll.ciqfunctions.udf.CIQ($B44,"IQ_CDS_mid",M$2)</f>
        <v>122.4101</v>
      </c>
      <c r="N44">
        <f ca="1">_xll.ciqfunctions.udf.CIQ($B44,"IQ_CDS_mid",N$2)</f>
        <v>123.10809999999999</v>
      </c>
      <c r="O44">
        <f ca="1">_xll.ciqfunctions.udf.CIQ($B44,"IQ_CDS_mid",O$2)</f>
        <v>125.95910000000001</v>
      </c>
      <c r="P44">
        <f ca="1">_xll.ciqfunctions.udf.CIQ($B44,"IQ_CDS_mid",P$2)</f>
        <v>125.95910000000001</v>
      </c>
      <c r="Q44">
        <f ca="1">_xll.ciqfunctions.udf.CIQ($B44,"IQ_CDS_mid",Q$2)</f>
        <v>125.95910000000001</v>
      </c>
      <c r="R44">
        <f ca="1">_xll.ciqfunctions.udf.CIQ($B44,"IQ_CDS_mid",R$2)</f>
        <v>145.6686</v>
      </c>
      <c r="S44">
        <f ca="1">_xll.ciqfunctions.udf.CIQ($B44,"IQ_CDS_mid",S$2)</f>
        <v>194.80690000000001</v>
      </c>
      <c r="T44">
        <f ca="1">C44-H44</f>
        <v>2.3021999999999991</v>
      </c>
      <c r="U44">
        <f ca="1">C44-M44</f>
        <v>3.2299000000000007</v>
      </c>
      <c r="V44">
        <f ca="1">C44-Q44</f>
        <v>-0.31910000000000593</v>
      </c>
      <c r="W44">
        <f ca="1">C44-R44</f>
        <v>-20.028599999999997</v>
      </c>
      <c r="X44">
        <f t="shared" ca="1" si="13"/>
        <v>-69.166900000000012</v>
      </c>
    </row>
    <row r="45" spans="1:24">
      <c r="X45">
        <f t="shared" si="13"/>
        <v>0</v>
      </c>
    </row>
    <row r="46" spans="1:24">
      <c r="X46">
        <f t="shared" si="13"/>
        <v>0</v>
      </c>
    </row>
    <row r="47" spans="1:24" ht="15.5">
      <c r="A47" s="21" t="s">
        <v>11</v>
      </c>
      <c r="X47">
        <f t="shared" si="13"/>
        <v>0</v>
      </c>
    </row>
    <row r="48" spans="1:24" ht="15.5">
      <c r="A48" s="22" t="s">
        <v>210</v>
      </c>
      <c r="B48" s="19" t="s">
        <v>211</v>
      </c>
      <c r="C48">
        <f ca="1">_xll.ciqfunctions.udf.CIQ($B48,"IQ_CDS_mid",C$2)</f>
        <v>53.1967</v>
      </c>
      <c r="D48">
        <f ca="1">_xll.ciqfunctions.udf.CIQ($B48,"IQ_CDS_mid",D$2)</f>
        <v>53.1967</v>
      </c>
      <c r="E48">
        <f ca="1">_xll.ciqfunctions.udf.CIQ($B48,"IQ_CDS_mid",E$2)</f>
        <v>52.934600000000003</v>
      </c>
      <c r="F48">
        <f ca="1">_xll.ciqfunctions.udf.CIQ($B48,"IQ_CDS_mid",F$2)</f>
        <v>52.801600000000001</v>
      </c>
      <c r="G48">
        <f ca="1">_xll.ciqfunctions.udf.CIQ($B48,"IQ_CDS_mid",G$2)</f>
        <v>52.052100000000003</v>
      </c>
      <c r="H48">
        <f ca="1">_xll.ciqfunctions.udf.CIQ($B48,"IQ_CDS_mid",H$2)</f>
        <v>51.656300000000002</v>
      </c>
      <c r="I48">
        <f ca="1">_xll.ciqfunctions.udf.CIQ($B48,"IQ_CDS_mid",I$2)</f>
        <v>51.656300000000002</v>
      </c>
      <c r="J48">
        <f ca="1">_xll.ciqfunctions.udf.CIQ($B48,"IQ_CDS_mid",J$2)</f>
        <v>51.656300000000002</v>
      </c>
      <c r="K48">
        <f ca="1">_xll.ciqfunctions.udf.CIQ($B48,"IQ_CDS_mid",K$2)</f>
        <v>51.73</v>
      </c>
      <c r="L48">
        <f ca="1">_xll.ciqfunctions.udf.CIQ($B48,"IQ_CDS_mid",L$2)</f>
        <v>51.767899999999997</v>
      </c>
      <c r="M48">
        <f ca="1">_xll.ciqfunctions.udf.CIQ($B48,"IQ_CDS_mid",M$2)</f>
        <v>51.273200000000003</v>
      </c>
      <c r="N48">
        <f ca="1">_xll.ciqfunctions.udf.CIQ($B48,"IQ_CDS_mid",N$2)</f>
        <v>51.097000000000001</v>
      </c>
      <c r="O48">
        <f ca="1">_xll.ciqfunctions.udf.CIQ($B48,"IQ_CDS_mid",O$2)</f>
        <v>51.754300000000001</v>
      </c>
      <c r="P48">
        <f ca="1">_xll.ciqfunctions.udf.CIQ($B48,"IQ_CDS_mid",P$2)</f>
        <v>51.754300000000001</v>
      </c>
      <c r="Q48">
        <f ca="1">_xll.ciqfunctions.udf.CIQ($B48,"IQ_CDS_mid",Q$2)</f>
        <v>51.754300000000001</v>
      </c>
      <c r="R48">
        <f ca="1">_xll.ciqfunctions.udf.CIQ($B48,"IQ_CDS_mid",R$2)</f>
        <v>57.259500000000003</v>
      </c>
      <c r="S48">
        <f ca="1">_xll.ciqfunctions.udf.CIQ($B48,"IQ_CDS_mid",S$2)</f>
        <v>55.7577</v>
      </c>
      <c r="T48">
        <f t="shared" ref="T48:T54" ca="1" si="14">C48-H48</f>
        <v>1.5403999999999982</v>
      </c>
      <c r="U48">
        <f t="shared" ref="U48:U54" ca="1" si="15">C48-M48</f>
        <v>1.9234999999999971</v>
      </c>
      <c r="V48">
        <f t="shared" ref="V48:V54" ca="1" si="16">C48-Q48</f>
        <v>1.4423999999999992</v>
      </c>
      <c r="W48">
        <f t="shared" ref="W48:W54" ca="1" si="17">C48-R48</f>
        <v>-4.0628000000000029</v>
      </c>
      <c r="X48">
        <f t="shared" ca="1" si="13"/>
        <v>-2.5609999999999999</v>
      </c>
    </row>
    <row r="49" spans="1:24" ht="15.5">
      <c r="A49" s="22" t="s">
        <v>212</v>
      </c>
      <c r="B49" s="19" t="s">
        <v>213</v>
      </c>
      <c r="C49">
        <f ca="1">_xll.ciqfunctions.udf.CIQ($B49,"IQ_CDS_mid",C$2)</f>
        <v>54.933399999999999</v>
      </c>
      <c r="D49">
        <f ca="1">_xll.ciqfunctions.udf.CIQ($B49,"IQ_CDS_mid",D$2)</f>
        <v>54.933399999999999</v>
      </c>
      <c r="E49">
        <f ca="1">_xll.ciqfunctions.udf.CIQ($B49,"IQ_CDS_mid",E$2)</f>
        <v>54.99</v>
      </c>
      <c r="F49">
        <f ca="1">_xll.ciqfunctions.udf.CIQ($B49,"IQ_CDS_mid",F$2)</f>
        <v>54.603999999999999</v>
      </c>
      <c r="G49">
        <f ca="1">_xll.ciqfunctions.udf.CIQ($B49,"IQ_CDS_mid",G$2)</f>
        <v>54.226500000000001</v>
      </c>
      <c r="H49">
        <f ca="1">_xll.ciqfunctions.udf.CIQ($B49,"IQ_CDS_mid",H$2)</f>
        <v>54.299599999999998</v>
      </c>
      <c r="I49">
        <f ca="1">_xll.ciqfunctions.udf.CIQ($B49,"IQ_CDS_mid",I$2)</f>
        <v>54.299599999999998</v>
      </c>
      <c r="J49">
        <f ca="1">_xll.ciqfunctions.udf.CIQ($B49,"IQ_CDS_mid",J$2)</f>
        <v>54.299599999999998</v>
      </c>
      <c r="K49">
        <f ca="1">_xll.ciqfunctions.udf.CIQ($B49,"IQ_CDS_mid",K$2)</f>
        <v>54.503300000000003</v>
      </c>
      <c r="L49">
        <f ca="1">_xll.ciqfunctions.udf.CIQ($B49,"IQ_CDS_mid",L$2)</f>
        <v>54.147199999999998</v>
      </c>
      <c r="M49">
        <f ca="1">_xll.ciqfunctions.udf.CIQ($B49,"IQ_CDS_mid",M$2)</f>
        <v>53.923299999999998</v>
      </c>
      <c r="N49">
        <f ca="1">_xll.ciqfunctions.udf.CIQ($B49,"IQ_CDS_mid",N$2)</f>
        <v>54.467300000000002</v>
      </c>
      <c r="O49">
        <f ca="1">_xll.ciqfunctions.udf.CIQ($B49,"IQ_CDS_mid",O$2)</f>
        <v>54.971299999999999</v>
      </c>
      <c r="P49">
        <f ca="1">_xll.ciqfunctions.udf.CIQ($B49,"IQ_CDS_mid",P$2)</f>
        <v>54.971299999999999</v>
      </c>
      <c r="Q49">
        <f ca="1">_xll.ciqfunctions.udf.CIQ($B49,"IQ_CDS_mid",Q$2)</f>
        <v>54.971299999999999</v>
      </c>
      <c r="R49">
        <f ca="1">_xll.ciqfunctions.udf.CIQ($B49,"IQ_CDS_mid",R$2)</f>
        <v>58.638599999999997</v>
      </c>
      <c r="S49">
        <f ca="1">_xll.ciqfunctions.udf.CIQ($B49,"IQ_CDS_mid",S$2)</f>
        <v>54.3979</v>
      </c>
      <c r="T49">
        <f t="shared" ca="1" si="14"/>
        <v>0.63380000000000081</v>
      </c>
      <c r="U49">
        <f t="shared" ca="1" si="15"/>
        <v>1.0101000000000013</v>
      </c>
      <c r="V49">
        <f t="shared" ca="1" si="16"/>
        <v>-3.7900000000000489E-2</v>
      </c>
      <c r="W49">
        <f t="shared" ca="1" si="17"/>
        <v>-3.7051999999999978</v>
      </c>
      <c r="X49">
        <f t="shared" ca="1" si="13"/>
        <v>0.53549999999999898</v>
      </c>
    </row>
    <row r="50" spans="1:24" ht="15.5">
      <c r="A50" s="22" t="s">
        <v>214</v>
      </c>
      <c r="B50" s="19" t="s">
        <v>215</v>
      </c>
      <c r="C50">
        <f ca="1">_xll.ciqfunctions.udf.CIQ($B50,"IQ_CDS_mid",C$2)</f>
        <v>40.466700000000003</v>
      </c>
      <c r="D50">
        <f ca="1">_xll.ciqfunctions.udf.CIQ($B50,"IQ_CDS_mid",D$2)</f>
        <v>40.466700000000003</v>
      </c>
      <c r="E50">
        <f ca="1">_xll.ciqfunctions.udf.CIQ($B50,"IQ_CDS_mid",E$2)</f>
        <v>40.655299999999997</v>
      </c>
      <c r="F50">
        <f ca="1">_xll.ciqfunctions.udf.CIQ($B50,"IQ_CDS_mid",F$2)</f>
        <v>40.584200000000003</v>
      </c>
      <c r="G50">
        <f ca="1">_xll.ciqfunctions.udf.CIQ($B50,"IQ_CDS_mid",G$2)</f>
        <v>40.046799999999998</v>
      </c>
      <c r="H50">
        <f ca="1">_xll.ciqfunctions.udf.CIQ($B50,"IQ_CDS_mid",H$2)</f>
        <v>40.430300000000003</v>
      </c>
      <c r="I50">
        <f ca="1">_xll.ciqfunctions.udf.CIQ($B50,"IQ_CDS_mid",I$2)</f>
        <v>40.430300000000003</v>
      </c>
      <c r="J50">
        <f ca="1">_xll.ciqfunctions.udf.CIQ($B50,"IQ_CDS_mid",J$2)</f>
        <v>40.430300000000003</v>
      </c>
      <c r="K50">
        <f ca="1">_xll.ciqfunctions.udf.CIQ($B50,"IQ_CDS_mid",K$2)</f>
        <v>39.799199999999999</v>
      </c>
      <c r="L50">
        <f ca="1">_xll.ciqfunctions.udf.CIQ($B50,"IQ_CDS_mid",L$2)</f>
        <v>39.764099999999999</v>
      </c>
      <c r="M50">
        <f ca="1">_xll.ciqfunctions.udf.CIQ($B50,"IQ_CDS_mid",M$2)</f>
        <v>39.796399999999998</v>
      </c>
      <c r="N50">
        <f ca="1">_xll.ciqfunctions.udf.CIQ($B50,"IQ_CDS_mid",N$2)</f>
        <v>39.845999999999997</v>
      </c>
      <c r="O50">
        <f ca="1">_xll.ciqfunctions.udf.CIQ($B50,"IQ_CDS_mid",O$2)</f>
        <v>40.004199999999997</v>
      </c>
      <c r="P50">
        <f ca="1">_xll.ciqfunctions.udf.CIQ($B50,"IQ_CDS_mid",P$2)</f>
        <v>40.004199999999997</v>
      </c>
      <c r="Q50">
        <f ca="1">_xll.ciqfunctions.udf.CIQ($B50,"IQ_CDS_mid",Q$2)</f>
        <v>40.004199999999997</v>
      </c>
      <c r="R50">
        <f ca="1">_xll.ciqfunctions.udf.CIQ($B50,"IQ_CDS_mid",R$2)</f>
        <v>39.474499999999999</v>
      </c>
      <c r="S50">
        <f ca="1">_xll.ciqfunctions.udf.CIQ($B50,"IQ_CDS_mid",S$2)</f>
        <v>41.824300000000001</v>
      </c>
      <c r="T50">
        <f t="shared" ca="1" si="14"/>
        <v>3.6400000000000432E-2</v>
      </c>
      <c r="U50">
        <f t="shared" ca="1" si="15"/>
        <v>0.67030000000000456</v>
      </c>
      <c r="V50">
        <f t="shared" ca="1" si="16"/>
        <v>0.46250000000000568</v>
      </c>
      <c r="W50">
        <f t="shared" ca="1" si="17"/>
        <v>0.99220000000000397</v>
      </c>
      <c r="X50">
        <f t="shared" ca="1" si="13"/>
        <v>-1.3575999999999979</v>
      </c>
    </row>
    <row r="51" spans="1:24" ht="15.5">
      <c r="A51" s="22" t="s">
        <v>216</v>
      </c>
      <c r="B51" s="19" t="s">
        <v>217</v>
      </c>
      <c r="C51">
        <f ca="1">_xll.ciqfunctions.udf.CIQ($B51,"IQ_CDS_mid",C$2)</f>
        <v>55.012</v>
      </c>
      <c r="D51">
        <f ca="1">_xll.ciqfunctions.udf.CIQ($B51,"IQ_CDS_mid",D$2)</f>
        <v>55.012</v>
      </c>
      <c r="E51">
        <f ca="1">_xll.ciqfunctions.udf.CIQ($B51,"IQ_CDS_mid",E$2)</f>
        <v>54.687399999999997</v>
      </c>
      <c r="F51">
        <f ca="1">_xll.ciqfunctions.udf.CIQ($B51,"IQ_CDS_mid",F$2)</f>
        <v>54.431199999999997</v>
      </c>
      <c r="G51">
        <f ca="1">_xll.ciqfunctions.udf.CIQ($B51,"IQ_CDS_mid",G$2)</f>
        <v>54.126199999999997</v>
      </c>
      <c r="H51">
        <f ca="1">_xll.ciqfunctions.udf.CIQ($B51,"IQ_CDS_mid",H$2)</f>
        <v>53.862699999999997</v>
      </c>
      <c r="I51">
        <f ca="1">_xll.ciqfunctions.udf.CIQ($B51,"IQ_CDS_mid",I$2)</f>
        <v>53.862699999999997</v>
      </c>
      <c r="J51">
        <f ca="1">_xll.ciqfunctions.udf.CIQ($B51,"IQ_CDS_mid",J$2)</f>
        <v>53.862699999999997</v>
      </c>
      <c r="K51">
        <f ca="1">_xll.ciqfunctions.udf.CIQ($B51,"IQ_CDS_mid",K$2)</f>
        <v>53.3</v>
      </c>
      <c r="L51">
        <f ca="1">_xll.ciqfunctions.udf.CIQ($B51,"IQ_CDS_mid",L$2)</f>
        <v>53.323</v>
      </c>
      <c r="M51">
        <f ca="1">_xll.ciqfunctions.udf.CIQ($B51,"IQ_CDS_mid",M$2)</f>
        <v>53.010399999999997</v>
      </c>
      <c r="N51">
        <f ca="1">_xll.ciqfunctions.udf.CIQ($B51,"IQ_CDS_mid",N$2)</f>
        <v>52.9893</v>
      </c>
      <c r="O51">
        <f ca="1">_xll.ciqfunctions.udf.CIQ($B51,"IQ_CDS_mid",O$2)</f>
        <v>53.423699999999997</v>
      </c>
      <c r="P51">
        <f ca="1">_xll.ciqfunctions.udf.CIQ($B51,"IQ_CDS_mid",P$2)</f>
        <v>53.423699999999997</v>
      </c>
      <c r="Q51">
        <f ca="1">_xll.ciqfunctions.udf.CIQ($B51,"IQ_CDS_mid",Q$2)</f>
        <v>53.423699999999997</v>
      </c>
      <c r="R51">
        <f ca="1">_xll.ciqfunctions.udf.CIQ($B51,"IQ_CDS_mid",R$2)</f>
        <v>57.183799999999998</v>
      </c>
      <c r="S51">
        <f ca="1">_xll.ciqfunctions.udf.CIQ($B51,"IQ_CDS_mid",S$2)</f>
        <v>58.2712</v>
      </c>
      <c r="T51">
        <f t="shared" ca="1" si="14"/>
        <v>1.1493000000000038</v>
      </c>
      <c r="U51">
        <f t="shared" ca="1" si="15"/>
        <v>2.0016000000000034</v>
      </c>
      <c r="V51">
        <f t="shared" ca="1" si="16"/>
        <v>1.5883000000000038</v>
      </c>
      <c r="W51">
        <f t="shared" ca="1" si="17"/>
        <v>-2.1717999999999975</v>
      </c>
      <c r="X51">
        <f t="shared" ca="1" si="13"/>
        <v>-3.2591999999999999</v>
      </c>
    </row>
    <row r="52" spans="1:24" ht="15.5">
      <c r="A52" s="22" t="s">
        <v>218</v>
      </c>
      <c r="B52" s="19" t="s">
        <v>219</v>
      </c>
      <c r="C52">
        <f ca="1">_xll.ciqfunctions.udf.CIQ($B52,"IQ_CDS_mid",C$2)</f>
        <v>57.456099999999999</v>
      </c>
      <c r="D52">
        <f ca="1">_xll.ciqfunctions.udf.CIQ($B52,"IQ_CDS_mid",D$2)</f>
        <v>57.456099999999999</v>
      </c>
      <c r="E52">
        <f ca="1">_xll.ciqfunctions.udf.CIQ($B52,"IQ_CDS_mid",E$2)</f>
        <v>57.236800000000002</v>
      </c>
      <c r="F52">
        <f ca="1">_xll.ciqfunctions.udf.CIQ($B52,"IQ_CDS_mid",F$2)</f>
        <v>56.741100000000003</v>
      </c>
      <c r="G52">
        <f ca="1">_xll.ciqfunctions.udf.CIQ($B52,"IQ_CDS_mid",G$2)</f>
        <v>55.769300000000001</v>
      </c>
      <c r="H52">
        <f ca="1">_xll.ciqfunctions.udf.CIQ($B52,"IQ_CDS_mid",H$2)</f>
        <v>55.974899999999998</v>
      </c>
      <c r="I52">
        <f ca="1">_xll.ciqfunctions.udf.CIQ($B52,"IQ_CDS_mid",I$2)</f>
        <v>55.974899999999998</v>
      </c>
      <c r="J52">
        <f ca="1">_xll.ciqfunctions.udf.CIQ($B52,"IQ_CDS_mid",J$2)</f>
        <v>55.974899999999998</v>
      </c>
      <c r="K52">
        <f ca="1">_xll.ciqfunctions.udf.CIQ($B52,"IQ_CDS_mid",K$2)</f>
        <v>55.024299999999997</v>
      </c>
      <c r="L52">
        <f ca="1">_xll.ciqfunctions.udf.CIQ($B52,"IQ_CDS_mid",L$2)</f>
        <v>55.054200000000002</v>
      </c>
      <c r="M52">
        <f ca="1">_xll.ciqfunctions.udf.CIQ($B52,"IQ_CDS_mid",M$2)</f>
        <v>54.235300000000002</v>
      </c>
      <c r="N52">
        <f ca="1">_xll.ciqfunctions.udf.CIQ($B52,"IQ_CDS_mid",N$2)</f>
        <v>54.180500000000002</v>
      </c>
      <c r="O52">
        <f ca="1">_xll.ciqfunctions.udf.CIQ($B52,"IQ_CDS_mid",O$2)</f>
        <v>55.0839</v>
      </c>
      <c r="P52">
        <f ca="1">_xll.ciqfunctions.udf.CIQ($B52,"IQ_CDS_mid",P$2)</f>
        <v>55.0839</v>
      </c>
      <c r="Q52">
        <f ca="1">_xll.ciqfunctions.udf.CIQ($B52,"IQ_CDS_mid",Q$2)</f>
        <v>55.0839</v>
      </c>
      <c r="R52">
        <f ca="1">_xll.ciqfunctions.udf.CIQ($B52,"IQ_CDS_mid",R$2)</f>
        <v>58.195700000000002</v>
      </c>
      <c r="S52">
        <f ca="1">_xll.ciqfunctions.udf.CIQ($B52,"IQ_CDS_mid",S$2)</f>
        <v>57.075299999999999</v>
      </c>
      <c r="T52">
        <f t="shared" ca="1" si="14"/>
        <v>1.4812000000000012</v>
      </c>
      <c r="U52">
        <f t="shared" ca="1" si="15"/>
        <v>3.220799999999997</v>
      </c>
      <c r="V52">
        <f t="shared" ca="1" si="16"/>
        <v>2.3721999999999994</v>
      </c>
      <c r="W52">
        <f t="shared" ca="1" si="17"/>
        <v>-0.73960000000000292</v>
      </c>
      <c r="X52">
        <f t="shared" ca="1" si="13"/>
        <v>0.38080000000000069</v>
      </c>
    </row>
    <row r="53" spans="1:24" ht="15.5">
      <c r="A53" s="22" t="s">
        <v>220</v>
      </c>
      <c r="B53" s="19" t="s">
        <v>221</v>
      </c>
      <c r="C53">
        <f ca="1">_xll.ciqfunctions.udf.CIQ($B53,"IQ_CDS_mid",C$2)</f>
        <v>49.697600000000001</v>
      </c>
      <c r="D53">
        <f ca="1">_xll.ciqfunctions.udf.CIQ($B53,"IQ_CDS_mid",D$2)</f>
        <v>49.697600000000001</v>
      </c>
      <c r="E53">
        <f ca="1">_xll.ciqfunctions.udf.CIQ($B53,"IQ_CDS_mid",E$2)</f>
        <v>49.7881</v>
      </c>
      <c r="F53">
        <f ca="1">_xll.ciqfunctions.udf.CIQ($B53,"IQ_CDS_mid",F$2)</f>
        <v>49.850200000000001</v>
      </c>
      <c r="G53">
        <f ca="1">_xll.ciqfunctions.udf.CIQ($B53,"IQ_CDS_mid",G$2)</f>
        <v>49.295900000000003</v>
      </c>
      <c r="H53">
        <f ca="1">_xll.ciqfunctions.udf.CIQ($B53,"IQ_CDS_mid",H$2)</f>
        <v>49.431100000000001</v>
      </c>
      <c r="I53">
        <f ca="1">_xll.ciqfunctions.udf.CIQ($B53,"IQ_CDS_mid",I$2)</f>
        <v>49.431100000000001</v>
      </c>
      <c r="J53">
        <f ca="1">_xll.ciqfunctions.udf.CIQ($B53,"IQ_CDS_mid",J$2)</f>
        <v>49.431100000000001</v>
      </c>
      <c r="K53">
        <f ca="1">_xll.ciqfunctions.udf.CIQ($B53,"IQ_CDS_mid",K$2)</f>
        <v>48.299199999999999</v>
      </c>
      <c r="L53">
        <f ca="1">_xll.ciqfunctions.udf.CIQ($B53,"IQ_CDS_mid",L$2)</f>
        <v>48.369399999999999</v>
      </c>
      <c r="M53">
        <f ca="1">_xll.ciqfunctions.udf.CIQ($B53,"IQ_CDS_mid",M$2)</f>
        <v>47.599600000000002</v>
      </c>
      <c r="N53">
        <f ca="1">_xll.ciqfunctions.udf.CIQ($B53,"IQ_CDS_mid",N$2)</f>
        <v>47.822400000000002</v>
      </c>
      <c r="O53">
        <f ca="1">_xll.ciqfunctions.udf.CIQ($B53,"IQ_CDS_mid",O$2)</f>
        <v>48.384700000000002</v>
      </c>
      <c r="P53">
        <f ca="1">_xll.ciqfunctions.udf.CIQ($B53,"IQ_CDS_mid",P$2)</f>
        <v>48.384700000000002</v>
      </c>
      <c r="Q53">
        <f ca="1">_xll.ciqfunctions.udf.CIQ($B53,"IQ_CDS_mid",Q$2)</f>
        <v>48.384700000000002</v>
      </c>
      <c r="R53">
        <f ca="1">_xll.ciqfunctions.udf.CIQ($B53,"IQ_CDS_mid",R$2)</f>
        <v>52.722000000000001</v>
      </c>
      <c r="S53">
        <f ca="1">_xll.ciqfunctions.udf.CIQ($B53,"IQ_CDS_mid",S$2)</f>
        <v>50.455599999999997</v>
      </c>
      <c r="T53">
        <f t="shared" ca="1" si="14"/>
        <v>0.26650000000000063</v>
      </c>
      <c r="U53">
        <f t="shared" ca="1" si="15"/>
        <v>2.097999999999999</v>
      </c>
      <c r="V53">
        <f t="shared" ca="1" si="16"/>
        <v>1.3128999999999991</v>
      </c>
      <c r="W53">
        <f t="shared" ca="1" si="17"/>
        <v>-3.0244</v>
      </c>
      <c r="X53">
        <f t="shared" ca="1" si="13"/>
        <v>-0.75799999999999557</v>
      </c>
    </row>
    <row r="54" spans="1:24" ht="15.5">
      <c r="A54" s="22" t="s">
        <v>222</v>
      </c>
      <c r="B54" s="19" t="s">
        <v>223</v>
      </c>
      <c r="C54">
        <f ca="1">_xll.ciqfunctions.udf.CIQ($B54,"IQ_CDS_mid",C$2)</f>
        <v>51.436399999999999</v>
      </c>
      <c r="D54">
        <f ca="1">_xll.ciqfunctions.udf.CIQ($B54,"IQ_CDS_mid",D$2)</f>
        <v>51.436399999999999</v>
      </c>
      <c r="E54">
        <f ca="1">_xll.ciqfunctions.udf.CIQ($B54,"IQ_CDS_mid",E$2)</f>
        <v>51.862000000000002</v>
      </c>
      <c r="F54">
        <f ca="1">_xll.ciqfunctions.udf.CIQ($B54,"IQ_CDS_mid",F$2)</f>
        <v>52.4953</v>
      </c>
      <c r="G54">
        <f ca="1">_xll.ciqfunctions.udf.CIQ($B54,"IQ_CDS_mid",G$2)</f>
        <v>52.8553</v>
      </c>
      <c r="H54">
        <f ca="1">_xll.ciqfunctions.udf.CIQ($B54,"IQ_CDS_mid",H$2)</f>
        <v>52.533499999999997</v>
      </c>
      <c r="I54">
        <f ca="1">_xll.ciqfunctions.udf.CIQ($B54,"IQ_CDS_mid",I$2)</f>
        <v>52.533499999999997</v>
      </c>
      <c r="J54">
        <f ca="1">_xll.ciqfunctions.udf.CIQ($B54,"IQ_CDS_mid",J$2)</f>
        <v>52.533499999999997</v>
      </c>
      <c r="K54">
        <f ca="1">_xll.ciqfunctions.udf.CIQ($B54,"IQ_CDS_mid",K$2)</f>
        <v>52.4148</v>
      </c>
      <c r="L54">
        <f ca="1">_xll.ciqfunctions.udf.CIQ($B54,"IQ_CDS_mid",L$2)</f>
        <v>52.562399999999997</v>
      </c>
      <c r="M54">
        <f ca="1">_xll.ciqfunctions.udf.CIQ($B54,"IQ_CDS_mid",M$2)</f>
        <v>53.1</v>
      </c>
      <c r="N54">
        <f ca="1">_xll.ciqfunctions.udf.CIQ($B54,"IQ_CDS_mid",N$2)</f>
        <v>52.686</v>
      </c>
      <c r="O54">
        <f ca="1">_xll.ciqfunctions.udf.CIQ($B54,"IQ_CDS_mid",O$2)</f>
        <v>51.494900000000001</v>
      </c>
      <c r="P54">
        <f ca="1">_xll.ciqfunctions.udf.CIQ($B54,"IQ_CDS_mid",P$2)</f>
        <v>51.494900000000001</v>
      </c>
      <c r="Q54">
        <f ca="1">_xll.ciqfunctions.udf.CIQ($B54,"IQ_CDS_mid",Q$2)</f>
        <v>51.494900000000001</v>
      </c>
      <c r="R54">
        <f ca="1">_xll.ciqfunctions.udf.CIQ($B54,"IQ_CDS_mid",R$2)</f>
        <v>54.766100000000002</v>
      </c>
      <c r="S54">
        <f ca="1">_xll.ciqfunctions.udf.CIQ($B54,"IQ_CDS_mid",S$2)</f>
        <v>50.180399999999999</v>
      </c>
      <c r="T54">
        <f t="shared" ca="1" si="14"/>
        <v>-1.0970999999999975</v>
      </c>
      <c r="U54">
        <f t="shared" ca="1" si="15"/>
        <v>-1.6636000000000024</v>
      </c>
      <c r="V54">
        <f t="shared" ca="1" si="16"/>
        <v>-5.8500000000002217E-2</v>
      </c>
      <c r="W54">
        <f t="shared" ca="1" si="17"/>
        <v>-3.3297000000000025</v>
      </c>
      <c r="X54">
        <f t="shared" ca="1" si="13"/>
        <v>1.2560000000000002</v>
      </c>
    </row>
    <row r="55" spans="1:24" ht="15.5">
      <c r="A55" s="21" t="s">
        <v>20</v>
      </c>
      <c r="X55">
        <f t="shared" si="13"/>
        <v>0</v>
      </c>
    </row>
    <row r="56" spans="1:24" ht="15.5">
      <c r="A56" s="22" t="s">
        <v>224</v>
      </c>
      <c r="B56" s="19" t="s">
        <v>225</v>
      </c>
      <c r="C56">
        <f ca="1">_xll.ciqfunctions.udf.CIQ($B56,"IQ_CDS_mid",C$2)</f>
        <v>42.543799999999997</v>
      </c>
      <c r="D56">
        <f ca="1">_xll.ciqfunctions.udf.CIQ($B56,"IQ_CDS_mid",D$2)</f>
        <v>42.543799999999997</v>
      </c>
      <c r="E56">
        <f ca="1">_xll.ciqfunctions.udf.CIQ($B56,"IQ_CDS_mid",E$2)</f>
        <v>42.1143</v>
      </c>
      <c r="F56">
        <f ca="1">_xll.ciqfunctions.udf.CIQ($B56,"IQ_CDS_mid",F$2)</f>
        <v>42.162100000000002</v>
      </c>
      <c r="G56">
        <f ca="1">_xll.ciqfunctions.udf.CIQ($B56,"IQ_CDS_mid",G$2)</f>
        <v>41.708199999999998</v>
      </c>
      <c r="H56">
        <f ca="1">_xll.ciqfunctions.udf.CIQ($B56,"IQ_CDS_mid",H$2)</f>
        <v>41.4191</v>
      </c>
      <c r="I56">
        <f ca="1">_xll.ciqfunctions.udf.CIQ($B56,"IQ_CDS_mid",I$2)</f>
        <v>41.4191</v>
      </c>
      <c r="J56">
        <f ca="1">_xll.ciqfunctions.udf.CIQ($B56,"IQ_CDS_mid",J$2)</f>
        <v>41.4191</v>
      </c>
      <c r="K56">
        <f ca="1">_xll.ciqfunctions.udf.CIQ($B56,"IQ_CDS_mid",K$2)</f>
        <v>41.276699999999998</v>
      </c>
      <c r="L56">
        <f ca="1">_xll.ciqfunctions.udf.CIQ($B56,"IQ_CDS_mid",L$2)</f>
        <v>41.570099999999996</v>
      </c>
      <c r="M56">
        <f ca="1">_xll.ciqfunctions.udf.CIQ($B56,"IQ_CDS_mid",M$2)</f>
        <v>40.917000000000002</v>
      </c>
      <c r="N56">
        <f ca="1">_xll.ciqfunctions.udf.CIQ($B56,"IQ_CDS_mid",N$2)</f>
        <v>40.799300000000002</v>
      </c>
      <c r="O56">
        <f ca="1">_xll.ciqfunctions.udf.CIQ($B56,"IQ_CDS_mid",O$2)</f>
        <v>41.215299999999999</v>
      </c>
      <c r="P56">
        <f ca="1">_xll.ciqfunctions.udf.CIQ($B56,"IQ_CDS_mid",P$2)</f>
        <v>41.215299999999999</v>
      </c>
      <c r="Q56">
        <f ca="1">_xll.ciqfunctions.udf.CIQ($B56,"IQ_CDS_mid",Q$2)</f>
        <v>41.215299999999999</v>
      </c>
      <c r="R56">
        <f ca="1">_xll.ciqfunctions.udf.CIQ($B56,"IQ_CDS_mid",R$2)</f>
        <v>39.601100000000002</v>
      </c>
      <c r="S56">
        <f ca="1">_xll.ciqfunctions.udf.CIQ($B56,"IQ_CDS_mid",S$2)</f>
        <v>42.65</v>
      </c>
      <c r="T56">
        <f ca="1">C56-H56</f>
        <v>1.1246999999999971</v>
      </c>
      <c r="U56">
        <f ca="1">C56-M56</f>
        <v>1.6267999999999958</v>
      </c>
      <c r="V56">
        <f ca="1">C56-Q56</f>
        <v>1.3284999999999982</v>
      </c>
      <c r="W56">
        <f ca="1">C56-R56</f>
        <v>2.942699999999995</v>
      </c>
      <c r="X56">
        <f t="shared" ca="1" si="13"/>
        <v>-0.10620000000000118</v>
      </c>
    </row>
    <row r="57" spans="1:24" ht="15.5">
      <c r="A57" s="22" t="s">
        <v>226</v>
      </c>
      <c r="B57" s="19" t="s">
        <v>227</v>
      </c>
      <c r="C57">
        <f ca="1">_xll.ciqfunctions.udf.CIQ($B57,"IQ_CDS_mid",C$2)</f>
        <v>35.06</v>
      </c>
      <c r="D57">
        <f ca="1">_xll.ciqfunctions.udf.CIQ($B57,"IQ_CDS_mid",D$2)</f>
        <v>35.06</v>
      </c>
      <c r="E57">
        <f ca="1">_xll.ciqfunctions.udf.CIQ($B57,"IQ_CDS_mid",E$2)</f>
        <v>34.434600000000003</v>
      </c>
      <c r="F57">
        <f ca="1">_xll.ciqfunctions.udf.CIQ($B57,"IQ_CDS_mid",F$2)</f>
        <v>34.1</v>
      </c>
      <c r="G57">
        <f ca="1">_xll.ciqfunctions.udf.CIQ($B57,"IQ_CDS_mid",G$2)</f>
        <v>33.725000000000001</v>
      </c>
      <c r="H57">
        <f ca="1">_xll.ciqfunctions.udf.CIQ($B57,"IQ_CDS_mid",H$2)</f>
        <v>33.6066</v>
      </c>
      <c r="I57">
        <f ca="1">_xll.ciqfunctions.udf.CIQ($B57,"IQ_CDS_mid",I$2)</f>
        <v>33.6066</v>
      </c>
      <c r="J57">
        <f ca="1">_xll.ciqfunctions.udf.CIQ($B57,"IQ_CDS_mid",J$2)</f>
        <v>33.6066</v>
      </c>
      <c r="K57">
        <f ca="1">_xll.ciqfunctions.udf.CIQ($B57,"IQ_CDS_mid",K$2)</f>
        <v>33.814999999999998</v>
      </c>
      <c r="L57">
        <f ca="1">_xll.ciqfunctions.udf.CIQ($B57,"IQ_CDS_mid",L$2)</f>
        <v>33.950000000000003</v>
      </c>
      <c r="M57">
        <f ca="1">_xll.ciqfunctions.udf.CIQ($B57,"IQ_CDS_mid",M$2)</f>
        <v>33.200000000000003</v>
      </c>
      <c r="N57">
        <f ca="1">_xll.ciqfunctions.udf.CIQ($B57,"IQ_CDS_mid",N$2)</f>
        <v>33.1</v>
      </c>
      <c r="O57">
        <f ca="1">_xll.ciqfunctions.udf.CIQ($B57,"IQ_CDS_mid",O$2)</f>
        <v>33.676699999999997</v>
      </c>
      <c r="P57">
        <f ca="1">_xll.ciqfunctions.udf.CIQ($B57,"IQ_CDS_mid",P$2)</f>
        <v>33.676699999999997</v>
      </c>
      <c r="Q57">
        <f ca="1">_xll.ciqfunctions.udf.CIQ($B57,"IQ_CDS_mid",Q$2)</f>
        <v>33.676699999999997</v>
      </c>
      <c r="R57">
        <f ca="1">_xll.ciqfunctions.udf.CIQ($B57,"IQ_CDS_mid",R$2)</f>
        <v>34.333300000000001</v>
      </c>
      <c r="S57">
        <f ca="1">_xll.ciqfunctions.udf.CIQ($B57,"IQ_CDS_mid",S$2)</f>
        <v>38.792900000000003</v>
      </c>
      <c r="T57">
        <f ca="1">C57-H57</f>
        <v>1.453400000000002</v>
      </c>
      <c r="U57">
        <f ca="1">C57-M57</f>
        <v>1.8599999999999994</v>
      </c>
      <c r="V57">
        <f ca="1">C57-Q57</f>
        <v>1.3833000000000055</v>
      </c>
      <c r="W57">
        <f ca="1">C57-R57</f>
        <v>0.72670000000000101</v>
      </c>
      <c r="X57">
        <f t="shared" ca="1" si="13"/>
        <v>-3.7329000000000008</v>
      </c>
    </row>
    <row r="58" spans="1:24" ht="15.5">
      <c r="A58" s="22" t="s">
        <v>228</v>
      </c>
      <c r="B58" s="19" t="s">
        <v>229</v>
      </c>
      <c r="C58">
        <f ca="1">_xll.ciqfunctions.udf.CIQ($B58,"IQ_CDS_mid",C$2)</f>
        <v>43.142200000000003</v>
      </c>
      <c r="D58">
        <f ca="1">_xll.ciqfunctions.udf.CIQ($B58,"IQ_CDS_mid",D$2)</f>
        <v>43.142200000000003</v>
      </c>
      <c r="E58">
        <f ca="1">_xll.ciqfunctions.udf.CIQ($B58,"IQ_CDS_mid",E$2)</f>
        <v>42.128900000000002</v>
      </c>
      <c r="F58">
        <f ca="1">_xll.ciqfunctions.udf.CIQ($B58,"IQ_CDS_mid",F$2)</f>
        <v>42.4</v>
      </c>
      <c r="G58">
        <f ca="1">_xll.ciqfunctions.udf.CIQ($B58,"IQ_CDS_mid",G$2)</f>
        <v>41.86</v>
      </c>
      <c r="H58">
        <f ca="1">_xll.ciqfunctions.udf.CIQ($B58,"IQ_CDS_mid",H$2)</f>
        <v>41.677599999999998</v>
      </c>
      <c r="I58">
        <f ca="1">_xll.ciqfunctions.udf.CIQ($B58,"IQ_CDS_mid",I$2)</f>
        <v>41.677599999999998</v>
      </c>
      <c r="J58">
        <f ca="1">_xll.ciqfunctions.udf.CIQ($B58,"IQ_CDS_mid",J$2)</f>
        <v>41.677599999999998</v>
      </c>
      <c r="K58">
        <f ca="1">_xll.ciqfunctions.udf.CIQ($B58,"IQ_CDS_mid",K$2)</f>
        <v>41.637500000000003</v>
      </c>
      <c r="L58">
        <f ca="1">_xll.ciqfunctions.udf.CIQ($B58,"IQ_CDS_mid",L$2)</f>
        <v>42.0441</v>
      </c>
      <c r="M58">
        <f ca="1">_xll.ciqfunctions.udf.CIQ($B58,"IQ_CDS_mid",M$2)</f>
        <v>41.428600000000003</v>
      </c>
      <c r="N58">
        <f ca="1">_xll.ciqfunctions.udf.CIQ($B58,"IQ_CDS_mid",N$2)</f>
        <v>41.333300000000001</v>
      </c>
      <c r="O58">
        <f ca="1">_xll.ciqfunctions.udf.CIQ($B58,"IQ_CDS_mid",O$2)</f>
        <v>41.484999999999999</v>
      </c>
      <c r="P58">
        <f ca="1">_xll.ciqfunctions.udf.CIQ($B58,"IQ_CDS_mid",P$2)</f>
        <v>41.484999999999999</v>
      </c>
      <c r="Q58">
        <f ca="1">_xll.ciqfunctions.udf.CIQ($B58,"IQ_CDS_mid",Q$2)</f>
        <v>41.484999999999999</v>
      </c>
      <c r="R58">
        <f ca="1">_xll.ciqfunctions.udf.CIQ($B58,"IQ_CDS_mid",R$2)</f>
        <v>43.278799999999997</v>
      </c>
      <c r="S58">
        <f ca="1">_xll.ciqfunctions.udf.CIQ($B58,"IQ_CDS_mid",S$2)</f>
        <v>46.656300000000002</v>
      </c>
      <c r="T58">
        <f ca="1">C58-H58</f>
        <v>1.4646000000000043</v>
      </c>
      <c r="U58">
        <f ca="1">C58-M58</f>
        <v>1.7135999999999996</v>
      </c>
      <c r="V58">
        <f ca="1">C58-Q58</f>
        <v>1.6572000000000031</v>
      </c>
      <c r="W58">
        <f ca="1">C58-R58</f>
        <v>-0.13659999999999428</v>
      </c>
      <c r="X58">
        <f t="shared" ca="1" si="13"/>
        <v>-3.5140999999999991</v>
      </c>
    </row>
    <row r="59" spans="1:24" ht="15.5">
      <c r="A59" s="21" t="s">
        <v>37</v>
      </c>
      <c r="X59">
        <f t="shared" si="13"/>
        <v>0</v>
      </c>
    </row>
    <row r="60" spans="1:24" ht="15.5">
      <c r="A60" s="22" t="s">
        <v>230</v>
      </c>
      <c r="B60" s="19" t="s">
        <v>231</v>
      </c>
      <c r="C60">
        <f ca="1">_xll.ciqfunctions.udf.CIQ($B60,"IQ_CDS_mid",C$2)</f>
        <v>47.282699999999998</v>
      </c>
      <c r="D60">
        <f ca="1">_xll.ciqfunctions.udf.CIQ($B60,"IQ_CDS_mid",D$2)</f>
        <v>47.282699999999998</v>
      </c>
      <c r="E60">
        <f ca="1">_xll.ciqfunctions.udf.CIQ($B60,"IQ_CDS_mid",E$2)</f>
        <v>47.254100000000001</v>
      </c>
      <c r="F60">
        <f ca="1">_xll.ciqfunctions.udf.CIQ($B60,"IQ_CDS_mid",F$2)</f>
        <v>47.4893</v>
      </c>
      <c r="G60">
        <f ca="1">_xll.ciqfunctions.udf.CIQ($B60,"IQ_CDS_mid",G$2)</f>
        <v>46.8643</v>
      </c>
      <c r="H60">
        <f ca="1">_xll.ciqfunctions.udf.CIQ($B60,"IQ_CDS_mid",H$2)</f>
        <v>46.726999999999997</v>
      </c>
      <c r="I60">
        <f ca="1">_xll.ciqfunctions.udf.CIQ($B60,"IQ_CDS_mid",I$2)</f>
        <v>46.726999999999997</v>
      </c>
      <c r="J60">
        <f ca="1">_xll.ciqfunctions.udf.CIQ($B60,"IQ_CDS_mid",J$2)</f>
        <v>46.726999999999997</v>
      </c>
      <c r="K60">
        <f ca="1">_xll.ciqfunctions.udf.CIQ($B60,"IQ_CDS_mid",K$2)</f>
        <v>46.920900000000003</v>
      </c>
      <c r="L60">
        <f ca="1">_xll.ciqfunctions.udf.CIQ($B60,"IQ_CDS_mid",L$2)</f>
        <v>47.0319</v>
      </c>
      <c r="M60">
        <f ca="1">_xll.ciqfunctions.udf.CIQ($B60,"IQ_CDS_mid",M$2)</f>
        <v>46.125</v>
      </c>
      <c r="N60">
        <f ca="1">_xll.ciqfunctions.udf.CIQ($B60,"IQ_CDS_mid",N$2)</f>
        <v>46.177999999999997</v>
      </c>
      <c r="O60">
        <f ca="1">_xll.ciqfunctions.udf.CIQ($B60,"IQ_CDS_mid",O$2)</f>
        <v>46.636299999999999</v>
      </c>
      <c r="P60">
        <f ca="1">_xll.ciqfunctions.udf.CIQ($B60,"IQ_CDS_mid",P$2)</f>
        <v>46.636299999999999</v>
      </c>
      <c r="Q60">
        <f ca="1">_xll.ciqfunctions.udf.CIQ($B60,"IQ_CDS_mid",Q$2)</f>
        <v>46.636299999999999</v>
      </c>
      <c r="R60">
        <f ca="1">_xll.ciqfunctions.udf.CIQ($B60,"IQ_CDS_mid",R$2)</f>
        <v>55.171399999999998</v>
      </c>
      <c r="S60">
        <f ca="1">_xll.ciqfunctions.udf.CIQ($B60,"IQ_CDS_mid",S$2)</f>
        <v>47.818199999999997</v>
      </c>
      <c r="T60">
        <f ca="1">C60-H60</f>
        <v>0.55570000000000164</v>
      </c>
      <c r="U60">
        <f ca="1">C60-M60</f>
        <v>1.1576999999999984</v>
      </c>
      <c r="V60">
        <f ca="1">C60-Q60</f>
        <v>0.64639999999999986</v>
      </c>
      <c r="W60">
        <f ca="1">C60-R60</f>
        <v>-7.8887</v>
      </c>
      <c r="X60">
        <f t="shared" ca="1" si="13"/>
        <v>-0.53549999999999898</v>
      </c>
    </row>
    <row r="61" spans="1:24" ht="15.5">
      <c r="A61" s="22" t="s">
        <v>232</v>
      </c>
      <c r="B61" s="19" t="s">
        <v>233</v>
      </c>
      <c r="C61">
        <f ca="1">_xll.ciqfunctions.udf.CIQ($B61,"IQ_CDS_mid",C$2)</f>
        <v>0</v>
      </c>
      <c r="D61">
        <f ca="1">_xll.ciqfunctions.udf.CIQ($B61,"IQ_CDS_mid",D$2)</f>
        <v>0</v>
      </c>
      <c r="E61">
        <f ca="1">_xll.ciqfunctions.udf.CIQ($B61,"IQ_CDS_mid",E$2)</f>
        <v>0</v>
      </c>
      <c r="F61">
        <f ca="1">_xll.ciqfunctions.udf.CIQ($B61,"IQ_CDS_mid",F$2)</f>
        <v>0</v>
      </c>
      <c r="G61">
        <f ca="1">_xll.ciqfunctions.udf.CIQ($B61,"IQ_CDS_mid",G$2)</f>
        <v>0</v>
      </c>
      <c r="H61">
        <f ca="1">_xll.ciqfunctions.udf.CIQ($B61,"IQ_CDS_mid",H$2)</f>
        <v>0</v>
      </c>
      <c r="I61">
        <f ca="1">_xll.ciqfunctions.udf.CIQ($B61,"IQ_CDS_mid",I$2)</f>
        <v>0</v>
      </c>
      <c r="J61">
        <f ca="1">_xll.ciqfunctions.udf.CIQ($B61,"IQ_CDS_mid",J$2)</f>
        <v>0</v>
      </c>
      <c r="K61">
        <f ca="1">_xll.ciqfunctions.udf.CIQ($B61,"IQ_CDS_mid",K$2)</f>
        <v>0</v>
      </c>
      <c r="L61">
        <f ca="1">_xll.ciqfunctions.udf.CIQ($B61,"IQ_CDS_mid",L$2)</f>
        <v>0</v>
      </c>
      <c r="M61">
        <f ca="1">_xll.ciqfunctions.udf.CIQ($B61,"IQ_CDS_mid",M$2)</f>
        <v>0</v>
      </c>
      <c r="N61">
        <f ca="1">_xll.ciqfunctions.udf.CIQ($B61,"IQ_CDS_mid",N$2)</f>
        <v>0</v>
      </c>
      <c r="O61">
        <f ca="1">_xll.ciqfunctions.udf.CIQ($B61,"IQ_CDS_mid",O$2)</f>
        <v>0</v>
      </c>
      <c r="P61">
        <f ca="1">_xll.ciqfunctions.udf.CIQ($B61,"IQ_CDS_mid",P$2)</f>
        <v>0</v>
      </c>
      <c r="Q61">
        <f ca="1">_xll.ciqfunctions.udf.CIQ($B61,"IQ_CDS_mid",Q$2)</f>
        <v>0</v>
      </c>
      <c r="R61">
        <f ca="1">_xll.ciqfunctions.udf.CIQ($B61,"IQ_CDS_mid",R$2)</f>
        <v>0</v>
      </c>
      <c r="S61">
        <f ca="1">_xll.ciqfunctions.udf.CIQ($B61,"IQ_CDS_mid",S$2)</f>
        <v>0</v>
      </c>
      <c r="T61">
        <f ca="1">C61-H61</f>
        <v>0</v>
      </c>
      <c r="U61">
        <f ca="1">C61-M61</f>
        <v>0</v>
      </c>
      <c r="V61">
        <f ca="1">C61-Q61</f>
        <v>0</v>
      </c>
      <c r="W61">
        <f ca="1">C61-R61</f>
        <v>0</v>
      </c>
      <c r="X61">
        <f t="shared" ca="1" si="13"/>
        <v>0</v>
      </c>
    </row>
    <row r="62" spans="1:24" ht="15.5">
      <c r="A62" s="21" t="s">
        <v>234</v>
      </c>
      <c r="X62">
        <f t="shared" si="13"/>
        <v>0</v>
      </c>
    </row>
    <row r="63" spans="1:24" ht="15.5">
      <c r="A63" s="22" t="s">
        <v>235</v>
      </c>
      <c r="B63" s="19" t="s">
        <v>236</v>
      </c>
      <c r="C63">
        <f ca="1">_xll.ciqfunctions.udf.CIQ($B63,"IQ_CDS_mid",C$2)</f>
        <v>59.799199999999999</v>
      </c>
      <c r="D63">
        <f ca="1">_xll.ciqfunctions.udf.CIQ($B63,"IQ_CDS_mid",D$2)</f>
        <v>59.799199999999999</v>
      </c>
      <c r="E63">
        <f ca="1">_xll.ciqfunctions.udf.CIQ($B63,"IQ_CDS_mid",E$2)</f>
        <v>60.664400000000001</v>
      </c>
      <c r="F63">
        <f ca="1">_xll.ciqfunctions.udf.CIQ($B63,"IQ_CDS_mid",F$2)</f>
        <v>60.900700000000001</v>
      </c>
      <c r="G63">
        <f ca="1">_xll.ciqfunctions.udf.CIQ($B63,"IQ_CDS_mid",G$2)</f>
        <v>60.703299999999999</v>
      </c>
      <c r="H63">
        <f ca="1">_xll.ciqfunctions.udf.CIQ($B63,"IQ_CDS_mid",H$2)</f>
        <v>60.189399999999999</v>
      </c>
      <c r="I63">
        <f ca="1">_xll.ciqfunctions.udf.CIQ($B63,"IQ_CDS_mid",I$2)</f>
        <v>60.189399999999999</v>
      </c>
      <c r="J63">
        <f ca="1">_xll.ciqfunctions.udf.CIQ($B63,"IQ_CDS_mid",J$2)</f>
        <v>60.189399999999999</v>
      </c>
      <c r="K63">
        <f ca="1">_xll.ciqfunctions.udf.CIQ($B63,"IQ_CDS_mid",K$2)</f>
        <v>60.837699999999998</v>
      </c>
      <c r="L63">
        <f ca="1">_xll.ciqfunctions.udf.CIQ($B63,"IQ_CDS_mid",L$2)</f>
        <v>61.0807</v>
      </c>
      <c r="M63">
        <f ca="1">_xll.ciqfunctions.udf.CIQ($B63,"IQ_CDS_mid",M$2)</f>
        <v>61.219799999999999</v>
      </c>
      <c r="N63">
        <f ca="1">_xll.ciqfunctions.udf.CIQ($B63,"IQ_CDS_mid",N$2)</f>
        <v>60.849600000000002</v>
      </c>
      <c r="O63">
        <f ca="1">_xll.ciqfunctions.udf.CIQ($B63,"IQ_CDS_mid",O$2)</f>
        <v>61.542900000000003</v>
      </c>
      <c r="P63">
        <f ca="1">_xll.ciqfunctions.udf.CIQ($B63,"IQ_CDS_mid",P$2)</f>
        <v>61.542900000000003</v>
      </c>
      <c r="Q63">
        <f ca="1">_xll.ciqfunctions.udf.CIQ($B63,"IQ_CDS_mid",Q$2)</f>
        <v>61.542900000000003</v>
      </c>
      <c r="R63">
        <f ca="1">_xll.ciqfunctions.udf.CIQ($B63,"IQ_CDS_mid",R$2)</f>
        <v>68.193799999999996</v>
      </c>
      <c r="S63">
        <f ca="1">_xll.ciqfunctions.udf.CIQ($B63,"IQ_CDS_mid",S$2)</f>
        <v>63.093800000000002</v>
      </c>
      <c r="T63">
        <f ca="1">C63-H63</f>
        <v>-0.3902000000000001</v>
      </c>
      <c r="U63">
        <f ca="1">C63-M63</f>
        <v>-1.4206000000000003</v>
      </c>
      <c r="V63">
        <f ca="1">C63-Q63</f>
        <v>-1.743700000000004</v>
      </c>
      <c r="W63">
        <f ca="1">C63-R63</f>
        <v>-8.394599999999997</v>
      </c>
      <c r="X63">
        <f t="shared" ca="1" si="13"/>
        <v>-3.2946000000000026</v>
      </c>
    </row>
    <row r="64" spans="1:24" ht="15.5">
      <c r="A64" s="22" t="s">
        <v>237</v>
      </c>
      <c r="B64" s="19" t="s">
        <v>238</v>
      </c>
      <c r="C64">
        <f ca="1">_xll.ciqfunctions.udf.CIQ($B64,"IQ_CDS_mid",C$2)</f>
        <v>38.414999999999999</v>
      </c>
      <c r="D64">
        <f ca="1">_xll.ciqfunctions.udf.CIQ($B64,"IQ_CDS_mid",D$2)</f>
        <v>38.414999999999999</v>
      </c>
      <c r="E64">
        <f ca="1">_xll.ciqfunctions.udf.CIQ($B64,"IQ_CDS_mid",E$2)</f>
        <v>38.5015</v>
      </c>
      <c r="F64">
        <f ca="1">_xll.ciqfunctions.udf.CIQ($B64,"IQ_CDS_mid",F$2)</f>
        <v>38.765599999999999</v>
      </c>
      <c r="G64">
        <f ca="1">_xll.ciqfunctions.udf.CIQ($B64,"IQ_CDS_mid",G$2)</f>
        <v>38.46</v>
      </c>
      <c r="H64">
        <f ca="1">_xll.ciqfunctions.udf.CIQ($B64,"IQ_CDS_mid",H$2)</f>
        <v>38.0349</v>
      </c>
      <c r="I64">
        <f ca="1">_xll.ciqfunctions.udf.CIQ($B64,"IQ_CDS_mid",I$2)</f>
        <v>38.0349</v>
      </c>
      <c r="J64">
        <f ca="1">_xll.ciqfunctions.udf.CIQ($B64,"IQ_CDS_mid",J$2)</f>
        <v>38.0349</v>
      </c>
      <c r="K64">
        <f ca="1">_xll.ciqfunctions.udf.CIQ($B64,"IQ_CDS_mid",K$2)</f>
        <v>38.285400000000003</v>
      </c>
      <c r="L64">
        <f ca="1">_xll.ciqfunctions.udf.CIQ($B64,"IQ_CDS_mid",L$2)</f>
        <v>38.423400000000001</v>
      </c>
      <c r="M64">
        <f ca="1">_xll.ciqfunctions.udf.CIQ($B64,"IQ_CDS_mid",M$2)</f>
        <v>38.002099999999999</v>
      </c>
      <c r="N64">
        <f ca="1">_xll.ciqfunctions.udf.CIQ($B64,"IQ_CDS_mid",N$2)</f>
        <v>37.812399999999997</v>
      </c>
      <c r="O64">
        <f ca="1">_xll.ciqfunctions.udf.CIQ($B64,"IQ_CDS_mid",O$2)</f>
        <v>38.1</v>
      </c>
      <c r="P64">
        <f ca="1">_xll.ciqfunctions.udf.CIQ($B64,"IQ_CDS_mid",P$2)</f>
        <v>38.1</v>
      </c>
      <c r="Q64">
        <f ca="1">_xll.ciqfunctions.udf.CIQ($B64,"IQ_CDS_mid",Q$2)</f>
        <v>38.1</v>
      </c>
      <c r="R64">
        <f ca="1">_xll.ciqfunctions.udf.CIQ($B64,"IQ_CDS_mid",R$2)</f>
        <v>47.413800000000002</v>
      </c>
      <c r="S64">
        <f ca="1">_xll.ciqfunctions.udf.CIQ($B64,"IQ_CDS_mid",S$2)</f>
        <v>48.990099999999998</v>
      </c>
      <c r="T64">
        <f ca="1">C64-H64</f>
        <v>0.38009999999999877</v>
      </c>
      <c r="U64">
        <f ca="1">C64-M64</f>
        <v>0.41290000000000049</v>
      </c>
      <c r="V64">
        <f ca="1">C64-Q64</f>
        <v>0.31499999999999773</v>
      </c>
      <c r="W64">
        <f ca="1">C64-R64</f>
        <v>-8.9988000000000028</v>
      </c>
      <c r="X64">
        <f t="shared" ca="1" si="13"/>
        <v>-10.575099999999999</v>
      </c>
    </row>
    <row r="65" spans="1:24" ht="15.5">
      <c r="A65" s="22" t="s">
        <v>239</v>
      </c>
      <c r="B65" s="19" t="s">
        <v>240</v>
      </c>
      <c r="C65">
        <f ca="1">_xll.ciqfunctions.udf.CIQ($B65,"IQ_CDS_mid",C$2)</f>
        <v>55.098700000000001</v>
      </c>
      <c r="D65">
        <f ca="1">_xll.ciqfunctions.udf.CIQ($B65,"IQ_CDS_mid",D$2)</f>
        <v>55.098700000000001</v>
      </c>
      <c r="E65">
        <f ca="1">_xll.ciqfunctions.udf.CIQ($B65,"IQ_CDS_mid",E$2)</f>
        <v>55.1267</v>
      </c>
      <c r="F65">
        <f ca="1">_xll.ciqfunctions.udf.CIQ($B65,"IQ_CDS_mid",F$2)</f>
        <v>55.5715</v>
      </c>
      <c r="G65">
        <f ca="1">_xll.ciqfunctions.udf.CIQ($B65,"IQ_CDS_mid",G$2)</f>
        <v>55.329700000000003</v>
      </c>
      <c r="H65">
        <f ca="1">_xll.ciqfunctions.udf.CIQ($B65,"IQ_CDS_mid",H$2)</f>
        <v>54.994399999999999</v>
      </c>
      <c r="I65">
        <f ca="1">_xll.ciqfunctions.udf.CIQ($B65,"IQ_CDS_mid",I$2)</f>
        <v>54.994399999999999</v>
      </c>
      <c r="J65">
        <f ca="1">_xll.ciqfunctions.udf.CIQ($B65,"IQ_CDS_mid",J$2)</f>
        <v>54.994399999999999</v>
      </c>
      <c r="K65">
        <f ca="1">_xll.ciqfunctions.udf.CIQ($B65,"IQ_CDS_mid",K$2)</f>
        <v>55.333300000000001</v>
      </c>
      <c r="L65">
        <f ca="1">_xll.ciqfunctions.udf.CIQ($B65,"IQ_CDS_mid",L$2)</f>
        <v>55.3384</v>
      </c>
      <c r="M65">
        <f ca="1">_xll.ciqfunctions.udf.CIQ($B65,"IQ_CDS_mid",M$2)</f>
        <v>54.752299999999998</v>
      </c>
      <c r="N65">
        <f ca="1">_xll.ciqfunctions.udf.CIQ($B65,"IQ_CDS_mid",N$2)</f>
        <v>54.7393</v>
      </c>
      <c r="O65">
        <f ca="1">_xll.ciqfunctions.udf.CIQ($B65,"IQ_CDS_mid",O$2)</f>
        <v>55.271599999999999</v>
      </c>
      <c r="P65">
        <f ca="1">_xll.ciqfunctions.udf.CIQ($B65,"IQ_CDS_mid",P$2)</f>
        <v>55.271599999999999</v>
      </c>
      <c r="Q65">
        <f ca="1">_xll.ciqfunctions.udf.CIQ($B65,"IQ_CDS_mid",Q$2)</f>
        <v>55.271599999999999</v>
      </c>
      <c r="R65">
        <f ca="1">_xll.ciqfunctions.udf.CIQ($B65,"IQ_CDS_mid",R$2)</f>
        <v>61.706299999999999</v>
      </c>
      <c r="S65">
        <f ca="1">_xll.ciqfunctions.udf.CIQ($B65,"IQ_CDS_mid",S$2)</f>
        <v>56.640999999999998</v>
      </c>
      <c r="T65">
        <f ca="1">C65-H65</f>
        <v>0.10430000000000206</v>
      </c>
      <c r="U65">
        <f ca="1">C65-M65</f>
        <v>0.34640000000000271</v>
      </c>
      <c r="V65">
        <f ca="1">C65-Q65</f>
        <v>-0.1728999999999985</v>
      </c>
      <c r="W65">
        <f ca="1">C65-R65</f>
        <v>-6.6075999999999979</v>
      </c>
      <c r="X65">
        <f t="shared" ca="1" si="13"/>
        <v>-1.5422999999999973</v>
      </c>
    </row>
    <row r="66" spans="1:24" ht="15.5">
      <c r="A66" s="22" t="s">
        <v>241</v>
      </c>
      <c r="B66" s="19" t="s">
        <v>242</v>
      </c>
      <c r="C66">
        <f ca="1">_xll.ciqfunctions.udf.CIQ($B66,"IQ_CDS_mid",C$2)</f>
        <v>43</v>
      </c>
      <c r="D66">
        <f ca="1">_xll.ciqfunctions.udf.CIQ($B66,"IQ_CDS_mid",D$2)</f>
        <v>43</v>
      </c>
      <c r="E66">
        <f ca="1">_xll.ciqfunctions.udf.CIQ($B66,"IQ_CDS_mid",E$2)</f>
        <v>43.125</v>
      </c>
      <c r="F66">
        <f ca="1">_xll.ciqfunctions.udf.CIQ($B66,"IQ_CDS_mid",F$2)</f>
        <v>43.497</v>
      </c>
      <c r="G66">
        <f ca="1">_xll.ciqfunctions.udf.CIQ($B66,"IQ_CDS_mid",G$2)</f>
        <v>43.1</v>
      </c>
      <c r="H66">
        <f ca="1">_xll.ciqfunctions.udf.CIQ($B66,"IQ_CDS_mid",H$2)</f>
        <v>42.7014</v>
      </c>
      <c r="I66">
        <f ca="1">_xll.ciqfunctions.udf.CIQ($B66,"IQ_CDS_mid",I$2)</f>
        <v>42.7014</v>
      </c>
      <c r="J66">
        <f ca="1">_xll.ciqfunctions.udf.CIQ($B66,"IQ_CDS_mid",J$2)</f>
        <v>42.7014</v>
      </c>
      <c r="K66">
        <f ca="1">_xll.ciqfunctions.udf.CIQ($B66,"IQ_CDS_mid",K$2)</f>
        <v>42.925600000000003</v>
      </c>
      <c r="L66">
        <f ca="1">_xll.ciqfunctions.udf.CIQ($B66,"IQ_CDS_mid",L$2)</f>
        <v>43.365000000000002</v>
      </c>
      <c r="M66">
        <f ca="1">_xll.ciqfunctions.udf.CIQ($B66,"IQ_CDS_mid",M$2)</f>
        <v>42.5</v>
      </c>
      <c r="N66">
        <f ca="1">_xll.ciqfunctions.udf.CIQ($B66,"IQ_CDS_mid",N$2)</f>
        <v>42.4435</v>
      </c>
      <c r="O66">
        <f ca="1">_xll.ciqfunctions.udf.CIQ($B66,"IQ_CDS_mid",O$2)</f>
        <v>42.9146</v>
      </c>
      <c r="P66">
        <f ca="1">_xll.ciqfunctions.udf.CIQ($B66,"IQ_CDS_mid",P$2)</f>
        <v>42.9146</v>
      </c>
      <c r="Q66">
        <f ca="1">_xll.ciqfunctions.udf.CIQ($B66,"IQ_CDS_mid",Q$2)</f>
        <v>42.9146</v>
      </c>
      <c r="R66">
        <f ca="1">_xll.ciqfunctions.udf.CIQ($B66,"IQ_CDS_mid",R$2)</f>
        <v>54.201700000000002</v>
      </c>
      <c r="S66">
        <f ca="1">_xll.ciqfunctions.udf.CIQ($B66,"IQ_CDS_mid",S$2)</f>
        <v>57.240099999999998</v>
      </c>
      <c r="T66">
        <f ca="1">C66-H66</f>
        <v>0.29860000000000042</v>
      </c>
      <c r="U66">
        <f ca="1">C66-M66</f>
        <v>0.5</v>
      </c>
      <c r="V66">
        <f ca="1">C66-Q66</f>
        <v>8.539999999999992E-2</v>
      </c>
      <c r="W66">
        <f ca="1">C66-R66</f>
        <v>-11.201700000000002</v>
      </c>
      <c r="X66">
        <f t="shared" ca="1" si="13"/>
        <v>-14.240099999999998</v>
      </c>
    </row>
    <row r="67" spans="1:24" ht="15.5">
      <c r="A67" s="21" t="s">
        <v>21</v>
      </c>
      <c r="X67">
        <f t="shared" si="13"/>
        <v>0</v>
      </c>
    </row>
    <row r="68" spans="1:24" ht="15.5">
      <c r="A68" s="22" t="s">
        <v>243</v>
      </c>
      <c r="B68" s="19" t="s">
        <v>244</v>
      </c>
      <c r="C68">
        <f ca="1">_xll.ciqfunctions.udf.CIQ($B68,"IQ_CDS_mid",C$2)</f>
        <v>45.355499999999999</v>
      </c>
      <c r="D68">
        <f ca="1">_xll.ciqfunctions.udf.CIQ($B68,"IQ_CDS_mid",D$2)</f>
        <v>45.355499999999999</v>
      </c>
      <c r="E68">
        <f ca="1">_xll.ciqfunctions.udf.CIQ($B68,"IQ_CDS_mid",E$2)</f>
        <v>46.150799999999997</v>
      </c>
      <c r="F68">
        <f ca="1">_xll.ciqfunctions.udf.CIQ($B68,"IQ_CDS_mid",F$2)</f>
        <v>46.210500000000003</v>
      </c>
      <c r="G68">
        <f ca="1">_xll.ciqfunctions.udf.CIQ($B68,"IQ_CDS_mid",G$2)</f>
        <v>46.432499999999997</v>
      </c>
      <c r="H68">
        <f ca="1">_xll.ciqfunctions.udf.CIQ($B68,"IQ_CDS_mid",H$2)</f>
        <v>45.856099999999998</v>
      </c>
      <c r="I68">
        <f ca="1">_xll.ciqfunctions.udf.CIQ($B68,"IQ_CDS_mid",I$2)</f>
        <v>45.856099999999998</v>
      </c>
      <c r="J68">
        <f ca="1">_xll.ciqfunctions.udf.CIQ($B68,"IQ_CDS_mid",J$2)</f>
        <v>45.856099999999998</v>
      </c>
      <c r="K68">
        <f ca="1">_xll.ciqfunctions.udf.CIQ($B68,"IQ_CDS_mid",K$2)</f>
        <v>46.745800000000003</v>
      </c>
      <c r="L68">
        <f ca="1">_xll.ciqfunctions.udf.CIQ($B68,"IQ_CDS_mid",L$2)</f>
        <v>47.5486</v>
      </c>
      <c r="M68">
        <f ca="1">_xll.ciqfunctions.udf.CIQ($B68,"IQ_CDS_mid",M$2)</f>
        <v>47.686900000000001</v>
      </c>
      <c r="N68">
        <f ca="1">_xll.ciqfunctions.udf.CIQ($B68,"IQ_CDS_mid",N$2)</f>
        <v>47.375</v>
      </c>
      <c r="O68">
        <f ca="1">_xll.ciqfunctions.udf.CIQ($B68,"IQ_CDS_mid",O$2)</f>
        <v>47.772500000000001</v>
      </c>
      <c r="P68">
        <f ca="1">_xll.ciqfunctions.udf.CIQ($B68,"IQ_CDS_mid",P$2)</f>
        <v>47.772500000000001</v>
      </c>
      <c r="Q68">
        <f ca="1">_xll.ciqfunctions.udf.CIQ($B68,"IQ_CDS_mid",Q$2)</f>
        <v>47.772500000000001</v>
      </c>
      <c r="R68">
        <f ca="1">_xll.ciqfunctions.udf.CIQ($B68,"IQ_CDS_mid",R$2)</f>
        <v>55.7806</v>
      </c>
      <c r="S68">
        <f ca="1">_xll.ciqfunctions.udf.CIQ($B68,"IQ_CDS_mid",S$2)</f>
        <v>53.9</v>
      </c>
      <c r="T68">
        <f ca="1">C68-H68</f>
        <v>-0.5005999999999986</v>
      </c>
      <c r="U68">
        <f ca="1">C68-M68</f>
        <v>-2.3314000000000021</v>
      </c>
      <c r="V68">
        <f ca="1">C68-Q68</f>
        <v>-2.4170000000000016</v>
      </c>
      <c r="W68">
        <f ca="1">C68-R68</f>
        <v>-10.4251</v>
      </c>
      <c r="X68">
        <f t="shared" ca="1" si="13"/>
        <v>-8.5444999999999993</v>
      </c>
    </row>
    <row r="69" spans="1:24" ht="15.5">
      <c r="A69" s="23" t="s">
        <v>245</v>
      </c>
      <c r="B69" s="19" t="s">
        <v>246</v>
      </c>
      <c r="C69">
        <f ca="1">_xll.ciqfunctions.udf.CIQ($B69,"IQ_CDS_mid",C$2)</f>
        <v>37.1</v>
      </c>
      <c r="D69">
        <f ca="1">_xll.ciqfunctions.udf.CIQ($B69,"IQ_CDS_mid",D$2)</f>
        <v>37.1</v>
      </c>
      <c r="E69">
        <f ca="1">_xll.ciqfunctions.udf.CIQ($B69,"IQ_CDS_mid",E$2)</f>
        <v>37.5</v>
      </c>
      <c r="F69">
        <f ca="1">_xll.ciqfunctions.udf.CIQ($B69,"IQ_CDS_mid",F$2)</f>
        <v>37.5</v>
      </c>
      <c r="G69">
        <f ca="1">_xll.ciqfunctions.udf.CIQ($B69,"IQ_CDS_mid",G$2)</f>
        <v>37.375999999999998</v>
      </c>
      <c r="H69">
        <f ca="1">_xll.ciqfunctions.udf.CIQ($B69,"IQ_CDS_mid",H$2)</f>
        <v>36.8705</v>
      </c>
      <c r="I69">
        <f ca="1">_xll.ciqfunctions.udf.CIQ($B69,"IQ_CDS_mid",I$2)</f>
        <v>36.8705</v>
      </c>
      <c r="J69">
        <f ca="1">_xll.ciqfunctions.udf.CIQ($B69,"IQ_CDS_mid",J$2)</f>
        <v>36.8705</v>
      </c>
      <c r="K69">
        <f ca="1">_xll.ciqfunctions.udf.CIQ($B69,"IQ_CDS_mid",K$2)</f>
        <v>37.043199999999999</v>
      </c>
      <c r="L69">
        <f ca="1">_xll.ciqfunctions.udf.CIQ($B69,"IQ_CDS_mid",L$2)</f>
        <v>37.200000000000003</v>
      </c>
      <c r="M69">
        <f ca="1">_xll.ciqfunctions.udf.CIQ($B69,"IQ_CDS_mid",M$2)</f>
        <v>36.9</v>
      </c>
      <c r="N69">
        <f ca="1">_xll.ciqfunctions.udf.CIQ($B69,"IQ_CDS_mid",N$2)</f>
        <v>36.953200000000002</v>
      </c>
      <c r="O69">
        <f ca="1">_xll.ciqfunctions.udf.CIQ($B69,"IQ_CDS_mid",O$2)</f>
        <v>37.25</v>
      </c>
      <c r="P69">
        <f ca="1">_xll.ciqfunctions.udf.CIQ($B69,"IQ_CDS_mid",P$2)</f>
        <v>37.25</v>
      </c>
      <c r="Q69">
        <f ca="1">_xll.ciqfunctions.udf.CIQ($B69,"IQ_CDS_mid",Q$2)</f>
        <v>37.25</v>
      </c>
      <c r="R69">
        <f ca="1">_xll.ciqfunctions.udf.CIQ($B69,"IQ_CDS_mid",R$2)</f>
        <v>44.759300000000003</v>
      </c>
      <c r="S69">
        <f ca="1">_xll.ciqfunctions.udf.CIQ($B69,"IQ_CDS_mid",S$2)</f>
        <v>43.571399999999997</v>
      </c>
      <c r="T69">
        <f ca="1">C69-H69</f>
        <v>0.22950000000000159</v>
      </c>
      <c r="U69">
        <f ca="1">C69-M69</f>
        <v>0.20000000000000284</v>
      </c>
      <c r="V69">
        <f ca="1">C69-Q69</f>
        <v>-0.14999999999999858</v>
      </c>
      <c r="W69">
        <f ca="1">C69-R69</f>
        <v>-7.6593000000000018</v>
      </c>
      <c r="X69">
        <f t="shared" ca="1" si="13"/>
        <v>-6.4713999999999956</v>
      </c>
    </row>
    <row r="70" spans="1:24" ht="15.5">
      <c r="A70" s="21" t="s">
        <v>33</v>
      </c>
      <c r="B70" s="19"/>
      <c r="X70">
        <f t="shared" si="13"/>
        <v>0</v>
      </c>
    </row>
    <row r="71" spans="1:24" ht="15.5">
      <c r="A71" s="23" t="s">
        <v>247</v>
      </c>
      <c r="B71" s="19" t="s">
        <v>248</v>
      </c>
      <c r="C71">
        <f ca="1">_xll.ciqfunctions.udf.CIQ($B71,"IQ_CDS_mid",C$2)</f>
        <v>25</v>
      </c>
      <c r="D71">
        <f ca="1">_xll.ciqfunctions.udf.CIQ($B71,"IQ_CDS_mid",D$2)</f>
        <v>25</v>
      </c>
      <c r="E71">
        <f ca="1">_xll.ciqfunctions.udf.CIQ($B71,"IQ_CDS_mid",E$2)</f>
        <v>24.86</v>
      </c>
      <c r="F71">
        <f ca="1">_xll.ciqfunctions.udf.CIQ($B71,"IQ_CDS_mid",F$2)</f>
        <v>25.02</v>
      </c>
      <c r="G71">
        <f ca="1">_xll.ciqfunctions.udf.CIQ($B71,"IQ_CDS_mid",G$2)</f>
        <v>24.98</v>
      </c>
      <c r="H71">
        <f ca="1">_xll.ciqfunctions.udf.CIQ($B71,"IQ_CDS_mid",H$2)</f>
        <v>24.86</v>
      </c>
      <c r="I71">
        <f ca="1">_xll.ciqfunctions.udf.CIQ($B71,"IQ_CDS_mid",I$2)</f>
        <v>24.86</v>
      </c>
      <c r="J71">
        <f ca="1">_xll.ciqfunctions.udf.CIQ($B71,"IQ_CDS_mid",J$2)</f>
        <v>24.86</v>
      </c>
      <c r="K71">
        <f ca="1">_xll.ciqfunctions.udf.CIQ($B71,"IQ_CDS_mid",K$2)</f>
        <v>24.66</v>
      </c>
      <c r="L71">
        <f ca="1">_xll.ciqfunctions.udf.CIQ($B71,"IQ_CDS_mid",L$2)</f>
        <v>25</v>
      </c>
      <c r="M71">
        <f ca="1">_xll.ciqfunctions.udf.CIQ($B71,"IQ_CDS_mid",M$2)</f>
        <v>24.8</v>
      </c>
      <c r="N71">
        <f ca="1">_xll.ciqfunctions.udf.CIQ($B71,"IQ_CDS_mid",N$2)</f>
        <v>24.716699999999999</v>
      </c>
      <c r="O71">
        <f ca="1">_xll.ciqfunctions.udf.CIQ($B71,"IQ_CDS_mid",O$2)</f>
        <v>24.875</v>
      </c>
      <c r="P71">
        <f ca="1">_xll.ciqfunctions.udf.CIQ($B71,"IQ_CDS_mid",P$2)</f>
        <v>24.875</v>
      </c>
      <c r="Q71">
        <f ca="1">_xll.ciqfunctions.udf.CIQ($B71,"IQ_CDS_mid",Q$2)</f>
        <v>24.875</v>
      </c>
      <c r="R71">
        <f ca="1">_xll.ciqfunctions.udf.CIQ($B71,"IQ_CDS_mid",R$2)</f>
        <v>28.875699999999998</v>
      </c>
      <c r="S71">
        <f ca="1">_xll.ciqfunctions.udf.CIQ($B71,"IQ_CDS_mid",S$2)</f>
        <v>38.927399999999999</v>
      </c>
      <c r="T71">
        <f ca="1">C71-H71</f>
        <v>0.14000000000000057</v>
      </c>
      <c r="U71">
        <f ca="1">C71-M71</f>
        <v>0.19999999999999929</v>
      </c>
      <c r="V71">
        <f ca="1">C71-Q71</f>
        <v>0.125</v>
      </c>
      <c r="W71">
        <f ca="1">C71-R71</f>
        <v>-3.8756999999999984</v>
      </c>
      <c r="X71">
        <f t="shared" ca="1" si="13"/>
        <v>-13.927399999999999</v>
      </c>
    </row>
    <row r="72" spans="1:24" ht="15.5">
      <c r="A72" s="21" t="s">
        <v>44</v>
      </c>
      <c r="X72">
        <f t="shared" si="13"/>
        <v>0</v>
      </c>
    </row>
    <row r="73" spans="1:24" ht="15.5">
      <c r="A73" s="22" t="s">
        <v>249</v>
      </c>
      <c r="B73" s="19" t="s">
        <v>250</v>
      </c>
      <c r="C73">
        <f ca="1">_xll.ciqfunctions.udf.CIQ($B73,"IQ_CDS_mid",C$2)</f>
        <v>43.392099999999999</v>
      </c>
      <c r="D73">
        <f ca="1">_xll.ciqfunctions.udf.CIQ($B73,"IQ_CDS_mid",D$2)</f>
        <v>43.392099999999999</v>
      </c>
      <c r="E73">
        <f ca="1">_xll.ciqfunctions.udf.CIQ($B73,"IQ_CDS_mid",E$2)</f>
        <v>43.332000000000001</v>
      </c>
      <c r="F73">
        <f ca="1">_xll.ciqfunctions.udf.CIQ($B73,"IQ_CDS_mid",F$2)</f>
        <v>43.197099999999999</v>
      </c>
      <c r="G73">
        <f ca="1">_xll.ciqfunctions.udf.CIQ($B73,"IQ_CDS_mid",G$2)</f>
        <v>41.173699999999997</v>
      </c>
      <c r="H73">
        <f ca="1">_xll.ciqfunctions.udf.CIQ($B73,"IQ_CDS_mid",H$2)</f>
        <v>40.276600000000002</v>
      </c>
      <c r="I73">
        <f ca="1">_xll.ciqfunctions.udf.CIQ($B73,"IQ_CDS_mid",I$2)</f>
        <v>40.276600000000002</v>
      </c>
      <c r="J73">
        <f ca="1">_xll.ciqfunctions.udf.CIQ($B73,"IQ_CDS_mid",J$2)</f>
        <v>40.276600000000002</v>
      </c>
      <c r="K73">
        <f ca="1">_xll.ciqfunctions.udf.CIQ($B73,"IQ_CDS_mid",K$2)</f>
        <v>40.391100000000002</v>
      </c>
      <c r="L73">
        <f ca="1">_xll.ciqfunctions.udf.CIQ($B73,"IQ_CDS_mid",L$2)</f>
        <v>40.516100000000002</v>
      </c>
      <c r="M73">
        <f ca="1">_xll.ciqfunctions.udf.CIQ($B73,"IQ_CDS_mid",M$2)</f>
        <v>39.250100000000003</v>
      </c>
      <c r="N73">
        <f ca="1">_xll.ciqfunctions.udf.CIQ($B73,"IQ_CDS_mid",N$2)</f>
        <v>39.424399999999999</v>
      </c>
      <c r="O73">
        <f ca="1">_xll.ciqfunctions.udf.CIQ($B73,"IQ_CDS_mid",O$2)</f>
        <v>39.436100000000003</v>
      </c>
      <c r="P73">
        <f ca="1">_xll.ciqfunctions.udf.CIQ($B73,"IQ_CDS_mid",P$2)</f>
        <v>39.436100000000003</v>
      </c>
      <c r="Q73">
        <f ca="1">_xll.ciqfunctions.udf.CIQ($B73,"IQ_CDS_mid",Q$2)</f>
        <v>39.436100000000003</v>
      </c>
      <c r="R73">
        <f ca="1">_xll.ciqfunctions.udf.CIQ($B73,"IQ_CDS_mid",R$2)</f>
        <v>43.166699999999999</v>
      </c>
      <c r="S73">
        <f ca="1">_xll.ciqfunctions.udf.CIQ($B73,"IQ_CDS_mid",S$2)</f>
        <v>36.1</v>
      </c>
      <c r="T73">
        <f ca="1">C73-H73</f>
        <v>3.1154999999999973</v>
      </c>
      <c r="U73">
        <f ca="1">C73-M73</f>
        <v>4.1419999999999959</v>
      </c>
      <c r="V73">
        <f ca="1">C73-Q73</f>
        <v>3.955999999999996</v>
      </c>
      <c r="W73">
        <f ca="1">C73-R73</f>
        <v>0.22540000000000049</v>
      </c>
      <c r="X73">
        <f t="shared" ca="1" si="13"/>
        <v>7.2920999999999978</v>
      </c>
    </row>
    <row r="74" spans="1:24" ht="15.5">
      <c r="A74" s="22" t="s">
        <v>251</v>
      </c>
      <c r="B74" s="19" t="s">
        <v>252</v>
      </c>
      <c r="C74">
        <f ca="1">_xll.ciqfunctions.udf.CIQ($B74,"IQ_CDS_mid",C$2)</f>
        <v>41.3309</v>
      </c>
      <c r="D74">
        <f ca="1">_xll.ciqfunctions.udf.CIQ($B74,"IQ_CDS_mid",D$2)</f>
        <v>41.3309</v>
      </c>
      <c r="E74">
        <f ca="1">_xll.ciqfunctions.udf.CIQ($B74,"IQ_CDS_mid",E$2)</f>
        <v>41.817799999999998</v>
      </c>
      <c r="F74">
        <f ca="1">_xll.ciqfunctions.udf.CIQ($B74,"IQ_CDS_mid",F$2)</f>
        <v>43.6434</v>
      </c>
      <c r="G74">
        <f ca="1">_xll.ciqfunctions.udf.CIQ($B74,"IQ_CDS_mid",G$2)</f>
        <v>41.251800000000003</v>
      </c>
      <c r="H74">
        <f ca="1">_xll.ciqfunctions.udf.CIQ($B74,"IQ_CDS_mid",H$2)</f>
        <v>41.522599999999997</v>
      </c>
      <c r="I74">
        <f ca="1">_xll.ciqfunctions.udf.CIQ($B74,"IQ_CDS_mid",I$2)</f>
        <v>41.522599999999997</v>
      </c>
      <c r="J74">
        <f ca="1">_xll.ciqfunctions.udf.CIQ($B74,"IQ_CDS_mid",J$2)</f>
        <v>41.522599999999997</v>
      </c>
      <c r="K74">
        <f ca="1">_xll.ciqfunctions.udf.CIQ($B74,"IQ_CDS_mid",K$2)</f>
        <v>40.308799999999998</v>
      </c>
      <c r="L74">
        <f ca="1">_xll.ciqfunctions.udf.CIQ($B74,"IQ_CDS_mid",L$2)</f>
        <v>43.139099999999999</v>
      </c>
      <c r="M74">
        <f ca="1">_xll.ciqfunctions.udf.CIQ($B74,"IQ_CDS_mid",M$2)</f>
        <v>41.501100000000001</v>
      </c>
      <c r="N74">
        <f ca="1">_xll.ciqfunctions.udf.CIQ($B74,"IQ_CDS_mid",N$2)</f>
        <v>41.511600000000001</v>
      </c>
      <c r="O74">
        <f ca="1">_xll.ciqfunctions.udf.CIQ($B74,"IQ_CDS_mid",O$2)</f>
        <v>41.051200000000001</v>
      </c>
      <c r="P74">
        <f ca="1">_xll.ciqfunctions.udf.CIQ($B74,"IQ_CDS_mid",P$2)</f>
        <v>41.051200000000001</v>
      </c>
      <c r="Q74">
        <f ca="1">_xll.ciqfunctions.udf.CIQ($B74,"IQ_CDS_mid",Q$2)</f>
        <v>41.051200000000001</v>
      </c>
      <c r="R74">
        <f ca="1">_xll.ciqfunctions.udf.CIQ($B74,"IQ_CDS_mid",R$2)</f>
        <v>39.422699999999999</v>
      </c>
      <c r="S74">
        <f ca="1">_xll.ciqfunctions.udf.CIQ($B74,"IQ_CDS_mid",S$2)</f>
        <v>31.333300000000001</v>
      </c>
      <c r="T74">
        <f ca="1">C74-H74</f>
        <v>-0.19169999999999732</v>
      </c>
      <c r="U74">
        <f ca="1">C74-M74</f>
        <v>-0.17020000000000124</v>
      </c>
      <c r="V74">
        <f ca="1">C74-Q74</f>
        <v>0.27969999999999828</v>
      </c>
      <c r="W74">
        <f ca="1">C74-R74</f>
        <v>1.9082000000000008</v>
      </c>
      <c r="X74">
        <f t="shared" ca="1" si="13"/>
        <v>9.9975999999999985</v>
      </c>
    </row>
    <row r="75" spans="1:24" ht="15.5">
      <c r="A75" s="22" t="s">
        <v>253</v>
      </c>
      <c r="B75" s="19" t="s">
        <v>254</v>
      </c>
      <c r="C75">
        <f ca="1">_xll.ciqfunctions.udf.CIQ($B75,"IQ_CDS_mid",C$2)</f>
        <v>41.052500000000002</v>
      </c>
      <c r="D75">
        <f ca="1">_xll.ciqfunctions.udf.CIQ($B75,"IQ_CDS_mid",D$2)</f>
        <v>41.052500000000002</v>
      </c>
      <c r="E75">
        <f ca="1">_xll.ciqfunctions.udf.CIQ($B75,"IQ_CDS_mid",E$2)</f>
        <v>41.089199999999998</v>
      </c>
      <c r="F75">
        <f ca="1">_xll.ciqfunctions.udf.CIQ($B75,"IQ_CDS_mid",F$2)</f>
        <v>41.145000000000003</v>
      </c>
      <c r="G75">
        <f ca="1">_xll.ciqfunctions.udf.CIQ($B75,"IQ_CDS_mid",G$2)</f>
        <v>41.148099999999999</v>
      </c>
      <c r="H75">
        <f ca="1">_xll.ciqfunctions.udf.CIQ($B75,"IQ_CDS_mid",H$2)</f>
        <v>41.293100000000003</v>
      </c>
      <c r="I75">
        <f ca="1">_xll.ciqfunctions.udf.CIQ($B75,"IQ_CDS_mid",I$2)</f>
        <v>41.293100000000003</v>
      </c>
      <c r="J75">
        <f ca="1">_xll.ciqfunctions.udf.CIQ($B75,"IQ_CDS_mid",J$2)</f>
        <v>41.293100000000003</v>
      </c>
      <c r="K75">
        <f ca="1">_xll.ciqfunctions.udf.CIQ($B75,"IQ_CDS_mid",K$2)</f>
        <v>41.466500000000003</v>
      </c>
      <c r="L75">
        <f ca="1">_xll.ciqfunctions.udf.CIQ($B75,"IQ_CDS_mid",L$2)</f>
        <v>41.888199999999998</v>
      </c>
      <c r="M75">
        <f ca="1">_xll.ciqfunctions.udf.CIQ($B75,"IQ_CDS_mid",M$2)</f>
        <v>42.812399999999997</v>
      </c>
      <c r="N75">
        <f ca="1">_xll.ciqfunctions.udf.CIQ($B75,"IQ_CDS_mid",N$2)</f>
        <v>43.237499999999997</v>
      </c>
      <c r="O75">
        <f ca="1">_xll.ciqfunctions.udf.CIQ($B75,"IQ_CDS_mid",O$2)</f>
        <v>43.236899999999999</v>
      </c>
      <c r="P75">
        <f ca="1">_xll.ciqfunctions.udf.CIQ($B75,"IQ_CDS_mid",P$2)</f>
        <v>43.236899999999999</v>
      </c>
      <c r="Q75">
        <f ca="1">_xll.ciqfunctions.udf.CIQ($B75,"IQ_CDS_mid",Q$2)</f>
        <v>43.236899999999999</v>
      </c>
      <c r="R75">
        <f ca="1">_xll.ciqfunctions.udf.CIQ($B75,"IQ_CDS_mid",R$2)</f>
        <v>46.686599999999999</v>
      </c>
      <c r="S75">
        <f ca="1">_xll.ciqfunctions.udf.CIQ($B75,"IQ_CDS_mid",S$2)</f>
        <v>55.816499999999998</v>
      </c>
      <c r="T75">
        <f ca="1">C75-H75</f>
        <v>-0.24060000000000059</v>
      </c>
      <c r="U75">
        <f ca="1">C75-M75</f>
        <v>-1.7598999999999947</v>
      </c>
      <c r="V75">
        <f ca="1">C75-Q75</f>
        <v>-2.1843999999999966</v>
      </c>
      <c r="W75">
        <f ca="1">C75-R75</f>
        <v>-5.6340999999999966</v>
      </c>
      <c r="X75">
        <f t="shared" ca="1" si="13"/>
        <v>-14.763999999999996</v>
      </c>
    </row>
    <row r="76" spans="1:24" ht="15.5">
      <c r="A76" s="23" t="s">
        <v>255</v>
      </c>
      <c r="B76" s="19" t="s">
        <v>256</v>
      </c>
      <c r="C76">
        <f ca="1">_xll.ciqfunctions.udf.CIQ($B76,"IQ_CDS_mid",C$2)</f>
        <v>63.594999999999999</v>
      </c>
      <c r="D76">
        <f ca="1">_xll.ciqfunctions.udf.CIQ($B76,"IQ_CDS_mid",D$2)</f>
        <v>63.594999999999999</v>
      </c>
      <c r="E76">
        <f ca="1">_xll.ciqfunctions.udf.CIQ($B76,"IQ_CDS_mid",E$2)</f>
        <v>64.0749</v>
      </c>
      <c r="F76">
        <f ca="1">_xll.ciqfunctions.udf.CIQ($B76,"IQ_CDS_mid",F$2)</f>
        <v>64.131299999999996</v>
      </c>
      <c r="G76">
        <f ca="1">_xll.ciqfunctions.udf.CIQ($B76,"IQ_CDS_mid",G$2)</f>
        <v>64.544399999999996</v>
      </c>
      <c r="H76">
        <f ca="1">_xll.ciqfunctions.udf.CIQ($B76,"IQ_CDS_mid",H$2)</f>
        <v>65.461699999999993</v>
      </c>
      <c r="I76">
        <f ca="1">_xll.ciqfunctions.udf.CIQ($B76,"IQ_CDS_mid",I$2)</f>
        <v>65.461699999999993</v>
      </c>
      <c r="J76">
        <f ca="1">_xll.ciqfunctions.udf.CIQ($B76,"IQ_CDS_mid",J$2)</f>
        <v>65.461699999999993</v>
      </c>
      <c r="K76">
        <f ca="1">_xll.ciqfunctions.udf.CIQ($B76,"IQ_CDS_mid",K$2)</f>
        <v>64.956400000000002</v>
      </c>
      <c r="L76">
        <f ca="1">_xll.ciqfunctions.udf.CIQ($B76,"IQ_CDS_mid",L$2)</f>
        <v>64.746799999999993</v>
      </c>
      <c r="M76">
        <f ca="1">_xll.ciqfunctions.udf.CIQ($B76,"IQ_CDS_mid",M$2)</f>
        <v>65.355599999999995</v>
      </c>
      <c r="N76">
        <f ca="1">_xll.ciqfunctions.udf.CIQ($B76,"IQ_CDS_mid",N$2)</f>
        <v>65.168999999999997</v>
      </c>
      <c r="O76">
        <f ca="1">_xll.ciqfunctions.udf.CIQ($B76,"IQ_CDS_mid",O$2)</f>
        <v>64.834699999999998</v>
      </c>
      <c r="P76">
        <f ca="1">_xll.ciqfunctions.udf.CIQ($B76,"IQ_CDS_mid",P$2)</f>
        <v>64.834699999999998</v>
      </c>
      <c r="Q76">
        <f ca="1">_xll.ciqfunctions.udf.CIQ($B76,"IQ_CDS_mid",Q$2)</f>
        <v>64.834699999999998</v>
      </c>
      <c r="R76">
        <f ca="1">_xll.ciqfunctions.udf.CIQ($B76,"IQ_CDS_mid",R$2)</f>
        <v>71.040899999999993</v>
      </c>
      <c r="S76">
        <f ca="1">_xll.ciqfunctions.udf.CIQ($B76,"IQ_CDS_mid",S$2)</f>
        <v>69.497200000000007</v>
      </c>
      <c r="T76">
        <f ca="1">C76-H76</f>
        <v>-1.8666999999999945</v>
      </c>
      <c r="U76">
        <f ca="1">C76-M76</f>
        <v>-1.7605999999999966</v>
      </c>
      <c r="V76">
        <f ca="1">C76-Q76</f>
        <v>-1.2396999999999991</v>
      </c>
      <c r="W76">
        <f ca="1">C76-R76</f>
        <v>-7.4458999999999946</v>
      </c>
      <c r="X76">
        <f t="shared" ca="1" si="13"/>
        <v>-5.9022000000000077</v>
      </c>
    </row>
    <row r="77" spans="1:24" ht="15.5">
      <c r="A77" s="23" t="s">
        <v>257</v>
      </c>
      <c r="B77" s="19" t="s">
        <v>258</v>
      </c>
      <c r="C77">
        <f ca="1">_xll.ciqfunctions.udf.CIQ($B77,"IQ_CDS_mid",C$2)</f>
        <v>75.213499999999996</v>
      </c>
      <c r="D77">
        <f ca="1">_xll.ciqfunctions.udf.CIQ($B77,"IQ_CDS_mid",D$2)</f>
        <v>75.213499999999996</v>
      </c>
      <c r="E77">
        <f ca="1">_xll.ciqfunctions.udf.CIQ($B77,"IQ_CDS_mid",E$2)</f>
        <v>75.210700000000003</v>
      </c>
      <c r="F77">
        <f ca="1">_xll.ciqfunctions.udf.CIQ($B77,"IQ_CDS_mid",F$2)</f>
        <v>74.631799999999998</v>
      </c>
      <c r="G77">
        <f ca="1">_xll.ciqfunctions.udf.CIQ($B77,"IQ_CDS_mid",G$2)</f>
        <v>75.213800000000006</v>
      </c>
      <c r="H77">
        <f ca="1">_xll.ciqfunctions.udf.CIQ($B77,"IQ_CDS_mid",H$2)</f>
        <v>74.887900000000002</v>
      </c>
      <c r="I77">
        <f ca="1">_xll.ciqfunctions.udf.CIQ($B77,"IQ_CDS_mid",I$2)</f>
        <v>74.887900000000002</v>
      </c>
      <c r="J77">
        <f ca="1">_xll.ciqfunctions.udf.CIQ($B77,"IQ_CDS_mid",J$2)</f>
        <v>74.887900000000002</v>
      </c>
      <c r="K77">
        <f ca="1">_xll.ciqfunctions.udf.CIQ($B77,"IQ_CDS_mid",K$2)</f>
        <v>75.887900000000002</v>
      </c>
      <c r="L77">
        <f ca="1">_xll.ciqfunctions.udf.CIQ($B77,"IQ_CDS_mid",L$2)</f>
        <v>75.878399999999999</v>
      </c>
      <c r="M77">
        <f ca="1">_xll.ciqfunctions.udf.CIQ($B77,"IQ_CDS_mid",M$2)</f>
        <v>75.882599999999996</v>
      </c>
      <c r="N77">
        <f ca="1">_xll.ciqfunctions.udf.CIQ($B77,"IQ_CDS_mid",N$2)</f>
        <v>75.878600000000006</v>
      </c>
      <c r="O77">
        <f ca="1">_xll.ciqfunctions.udf.CIQ($B77,"IQ_CDS_mid",O$2)</f>
        <v>75.878200000000007</v>
      </c>
      <c r="P77">
        <f ca="1">_xll.ciqfunctions.udf.CIQ($B77,"IQ_CDS_mid",P$2)</f>
        <v>75.878200000000007</v>
      </c>
      <c r="Q77">
        <f ca="1">_xll.ciqfunctions.udf.CIQ($B77,"IQ_CDS_mid",Q$2)</f>
        <v>75.878200000000007</v>
      </c>
      <c r="R77">
        <f ca="1">_xll.ciqfunctions.udf.CIQ($B77,"IQ_CDS_mid",R$2)</f>
        <v>74.108999999999995</v>
      </c>
      <c r="S77">
        <f ca="1">_xll.ciqfunctions.udf.CIQ($B77,"IQ_CDS_mid",S$2)</f>
        <v>78.671700000000001</v>
      </c>
      <c r="T77">
        <f ca="1">C77-H77</f>
        <v>0.32559999999999434</v>
      </c>
      <c r="U77">
        <f ca="1">C77-M77</f>
        <v>-0.66910000000000025</v>
      </c>
      <c r="V77">
        <f ca="1">C77-Q77</f>
        <v>-0.6647000000000105</v>
      </c>
      <c r="W77">
        <f ca="1">C77-R77</f>
        <v>1.1045000000000016</v>
      </c>
      <c r="X77">
        <f t="shared" ca="1" si="13"/>
        <v>-3.458200000000005</v>
      </c>
    </row>
    <row r="78" spans="1:24" ht="15.5">
      <c r="A78" s="21" t="s">
        <v>13</v>
      </c>
      <c r="X78">
        <f t="shared" si="13"/>
        <v>0</v>
      </c>
    </row>
    <row r="79" spans="1:24" ht="15.5">
      <c r="A79" s="22" t="s">
        <v>259</v>
      </c>
      <c r="B79" s="19" t="s">
        <v>260</v>
      </c>
      <c r="C79">
        <f ca="1">_xll.ciqfunctions.udf.CIQ($B79,"IQ_CDS_mid",C$2)</f>
        <v>61.166699999999999</v>
      </c>
      <c r="D79">
        <f ca="1">_xll.ciqfunctions.udf.CIQ($B79,"IQ_CDS_mid",D$2)</f>
        <v>61.166699999999999</v>
      </c>
      <c r="E79">
        <f ca="1">_xll.ciqfunctions.udf.CIQ($B79,"IQ_CDS_mid",E$2)</f>
        <v>61.5</v>
      </c>
      <c r="F79">
        <f ca="1">_xll.ciqfunctions.udf.CIQ($B79,"IQ_CDS_mid",F$2)</f>
        <v>61.5</v>
      </c>
      <c r="G79">
        <f ca="1">_xll.ciqfunctions.udf.CIQ($B79,"IQ_CDS_mid",G$2)</f>
        <v>61.5</v>
      </c>
      <c r="H79">
        <f ca="1">_xll.ciqfunctions.udf.CIQ($B79,"IQ_CDS_mid",H$2)</f>
        <v>61.5</v>
      </c>
      <c r="I79">
        <f ca="1">_xll.ciqfunctions.udf.CIQ($B79,"IQ_CDS_mid",I$2)</f>
        <v>61.5</v>
      </c>
      <c r="J79">
        <f ca="1">_xll.ciqfunctions.udf.CIQ($B79,"IQ_CDS_mid",J$2)</f>
        <v>61.5</v>
      </c>
      <c r="K79">
        <f ca="1">_xll.ciqfunctions.udf.CIQ($B79,"IQ_CDS_mid",K$2)</f>
        <v>61.5</v>
      </c>
      <c r="L79">
        <f ca="1">_xll.ciqfunctions.udf.CIQ($B79,"IQ_CDS_mid",L$2)</f>
        <v>61.666699999999999</v>
      </c>
      <c r="M79">
        <f ca="1">_xll.ciqfunctions.udf.CIQ($B79,"IQ_CDS_mid",M$2)</f>
        <v>61.333300000000001</v>
      </c>
      <c r="N79">
        <f ca="1">_xll.ciqfunctions.udf.CIQ($B79,"IQ_CDS_mid",N$2)</f>
        <v>61.333300000000001</v>
      </c>
      <c r="O79">
        <f ca="1">_xll.ciqfunctions.udf.CIQ($B79,"IQ_CDS_mid",O$2)</f>
        <v>61.333300000000001</v>
      </c>
      <c r="P79">
        <f ca="1">_xll.ciqfunctions.udf.CIQ($B79,"IQ_CDS_mid",P$2)</f>
        <v>61.333300000000001</v>
      </c>
      <c r="Q79">
        <f ca="1">_xll.ciqfunctions.udf.CIQ($B79,"IQ_CDS_mid",Q$2)</f>
        <v>61.333300000000001</v>
      </c>
      <c r="R79">
        <f ca="1">_xll.ciqfunctions.udf.CIQ($B79,"IQ_CDS_mid",R$2)</f>
        <v>52.845100000000002</v>
      </c>
      <c r="S79">
        <f ca="1">_xll.ciqfunctions.udf.CIQ($B79,"IQ_CDS_mid",S$2)</f>
        <v>40.976199999999999</v>
      </c>
      <c r="T79">
        <f t="shared" ref="T79:T84" ca="1" si="18">C79-H79</f>
        <v>-0.33330000000000126</v>
      </c>
      <c r="U79">
        <f t="shared" ref="U79:U84" ca="1" si="19">C79-M79</f>
        <v>-0.16660000000000252</v>
      </c>
      <c r="V79">
        <f t="shared" ref="V79:V84" ca="1" si="20">C79-Q79</f>
        <v>-0.16660000000000252</v>
      </c>
      <c r="W79">
        <f t="shared" ref="W79:W84" ca="1" si="21">C79-R79</f>
        <v>8.3215999999999966</v>
      </c>
      <c r="X79">
        <f t="shared" ca="1" si="13"/>
        <v>20.1905</v>
      </c>
    </row>
    <row r="80" spans="1:24" ht="15.5">
      <c r="A80" s="22" t="s">
        <v>261</v>
      </c>
      <c r="B80" s="19" t="s">
        <v>262</v>
      </c>
      <c r="C80">
        <f ca="1">_xll.ciqfunctions.udf.CIQ($B80,"IQ_CDS_mid",C$2)</f>
        <v>57.837000000000003</v>
      </c>
      <c r="D80">
        <f ca="1">_xll.ciqfunctions.udf.CIQ($B80,"IQ_CDS_mid",D$2)</f>
        <v>57.837000000000003</v>
      </c>
      <c r="E80">
        <f ca="1">_xll.ciqfunctions.udf.CIQ($B80,"IQ_CDS_mid",E$2)</f>
        <v>56.5</v>
      </c>
      <c r="F80">
        <f ca="1">_xll.ciqfunctions.udf.CIQ($B80,"IQ_CDS_mid",F$2)</f>
        <v>56.5</v>
      </c>
      <c r="G80">
        <f ca="1">_xll.ciqfunctions.udf.CIQ($B80,"IQ_CDS_mid",G$2)</f>
        <v>56.5</v>
      </c>
      <c r="H80">
        <f ca="1">_xll.ciqfunctions.udf.CIQ($B80,"IQ_CDS_mid",H$2)</f>
        <v>56.5</v>
      </c>
      <c r="I80">
        <f ca="1">_xll.ciqfunctions.udf.CIQ($B80,"IQ_CDS_mid",I$2)</f>
        <v>56.5</v>
      </c>
      <c r="J80">
        <f ca="1">_xll.ciqfunctions.udf.CIQ($B80,"IQ_CDS_mid",J$2)</f>
        <v>56.5</v>
      </c>
      <c r="K80">
        <f ca="1">_xll.ciqfunctions.udf.CIQ($B80,"IQ_CDS_mid",K$2)</f>
        <v>56.5</v>
      </c>
      <c r="L80">
        <f ca="1">_xll.ciqfunctions.udf.CIQ($B80,"IQ_CDS_mid",L$2)</f>
        <v>56.5</v>
      </c>
      <c r="M80">
        <f ca="1">_xll.ciqfunctions.udf.CIQ($B80,"IQ_CDS_mid",M$2)</f>
        <v>56</v>
      </c>
      <c r="N80">
        <f ca="1">_xll.ciqfunctions.udf.CIQ($B80,"IQ_CDS_mid",N$2)</f>
        <v>56</v>
      </c>
      <c r="O80">
        <f ca="1">_xll.ciqfunctions.udf.CIQ($B80,"IQ_CDS_mid",O$2)</f>
        <v>56</v>
      </c>
      <c r="P80">
        <f ca="1">_xll.ciqfunctions.udf.CIQ($B80,"IQ_CDS_mid",P$2)</f>
        <v>56</v>
      </c>
      <c r="Q80">
        <f ca="1">_xll.ciqfunctions.udf.CIQ($B80,"IQ_CDS_mid",Q$2)</f>
        <v>56</v>
      </c>
      <c r="R80">
        <f ca="1">_xll.ciqfunctions.udf.CIQ($B80,"IQ_CDS_mid",R$2)</f>
        <v>58.395499999999998</v>
      </c>
      <c r="S80">
        <f ca="1">_xll.ciqfunctions.udf.CIQ($B80,"IQ_CDS_mid",S$2)</f>
        <v>43.060699999999997</v>
      </c>
      <c r="T80">
        <f t="shared" ca="1" si="18"/>
        <v>1.3370000000000033</v>
      </c>
      <c r="U80">
        <f t="shared" ca="1" si="19"/>
        <v>1.8370000000000033</v>
      </c>
      <c r="V80">
        <f t="shared" ca="1" si="20"/>
        <v>1.8370000000000033</v>
      </c>
      <c r="W80">
        <f t="shared" ca="1" si="21"/>
        <v>-0.55849999999999511</v>
      </c>
      <c r="X80">
        <f t="shared" ca="1" si="13"/>
        <v>14.776300000000006</v>
      </c>
    </row>
    <row r="81" spans="1:24" ht="15.5">
      <c r="A81" s="22" t="s">
        <v>263</v>
      </c>
      <c r="B81" t="s">
        <v>264</v>
      </c>
      <c r="C81">
        <f ca="1">_xll.ciqfunctions.udf.CIQ($B81,"IQ_CDS_mid",C$2)</f>
        <v>62.166600000000003</v>
      </c>
      <c r="D81">
        <f ca="1">_xll.ciqfunctions.udf.CIQ($B81,"IQ_CDS_mid",D$2)</f>
        <v>62.166600000000003</v>
      </c>
      <c r="E81">
        <f ca="1">_xll.ciqfunctions.udf.CIQ($B81,"IQ_CDS_mid",E$2)</f>
        <v>62.506599999999999</v>
      </c>
      <c r="F81">
        <f ca="1">_xll.ciqfunctions.udf.CIQ($B81,"IQ_CDS_mid",F$2)</f>
        <v>62.501300000000001</v>
      </c>
      <c r="G81">
        <f ca="1">_xll.ciqfunctions.udf.CIQ($B81,"IQ_CDS_mid",G$2)</f>
        <v>62.333300000000001</v>
      </c>
      <c r="H81">
        <f ca="1">_xll.ciqfunctions.udf.CIQ($B81,"IQ_CDS_mid",H$2)</f>
        <v>62.100900000000003</v>
      </c>
      <c r="I81">
        <f ca="1">_xll.ciqfunctions.udf.CIQ($B81,"IQ_CDS_mid",I$2)</f>
        <v>62.100900000000003</v>
      </c>
      <c r="J81">
        <f ca="1">_xll.ciqfunctions.udf.CIQ($B81,"IQ_CDS_mid",J$2)</f>
        <v>62.100900000000003</v>
      </c>
      <c r="K81">
        <f ca="1">_xll.ciqfunctions.udf.CIQ($B81,"IQ_CDS_mid",K$2)</f>
        <v>62.1021</v>
      </c>
      <c r="L81">
        <f ca="1">_xll.ciqfunctions.udf.CIQ($B81,"IQ_CDS_mid",L$2)</f>
        <v>62.6402</v>
      </c>
      <c r="M81">
        <f ca="1">_xll.ciqfunctions.udf.CIQ($B81,"IQ_CDS_mid",M$2)</f>
        <v>61.862900000000003</v>
      </c>
      <c r="N81">
        <f ca="1">_xll.ciqfunctions.udf.CIQ($B81,"IQ_CDS_mid",N$2)</f>
        <v>61.863</v>
      </c>
      <c r="O81">
        <f ca="1">_xll.ciqfunctions.udf.CIQ($B81,"IQ_CDS_mid",O$2)</f>
        <v>61.173400000000001</v>
      </c>
      <c r="P81">
        <f ca="1">_xll.ciqfunctions.udf.CIQ($B81,"IQ_CDS_mid",P$2)</f>
        <v>61.173400000000001</v>
      </c>
      <c r="Q81">
        <f ca="1">_xll.ciqfunctions.udf.CIQ($B81,"IQ_CDS_mid",Q$2)</f>
        <v>61.173400000000001</v>
      </c>
      <c r="R81">
        <f ca="1">_xll.ciqfunctions.udf.CIQ($B81,"IQ_CDS_mid",R$2)</f>
        <v>61.336300000000001</v>
      </c>
      <c r="S81">
        <f ca="1">_xll.ciqfunctions.udf.CIQ($B81,"IQ_CDS_mid",S$2)</f>
        <v>43.022300000000001</v>
      </c>
      <c r="T81">
        <f t="shared" ca="1" si="18"/>
        <v>6.5699999999999648E-2</v>
      </c>
      <c r="U81">
        <f t="shared" ca="1" si="19"/>
        <v>0.30369999999999919</v>
      </c>
      <c r="V81">
        <f t="shared" ca="1" si="20"/>
        <v>0.99320000000000164</v>
      </c>
      <c r="W81">
        <f t="shared" ca="1" si="21"/>
        <v>0.83030000000000115</v>
      </c>
      <c r="X81">
        <f t="shared" ca="1" si="13"/>
        <v>19.144300000000001</v>
      </c>
    </row>
    <row r="82" spans="1:24" ht="15.5">
      <c r="A82" s="22" t="s">
        <v>265</v>
      </c>
      <c r="B82" s="19" t="s">
        <v>266</v>
      </c>
      <c r="C82">
        <f ca="1">_xll.ciqfunctions.udf.CIQ($B82,"IQ_CDS_mid",C$2)</f>
        <v>56</v>
      </c>
      <c r="D82">
        <f ca="1">_xll.ciqfunctions.udf.CIQ($B82,"IQ_CDS_mid",D$2)</f>
        <v>56</v>
      </c>
      <c r="E82">
        <f ca="1">_xll.ciqfunctions.udf.CIQ($B82,"IQ_CDS_mid",E$2)</f>
        <v>56.5</v>
      </c>
      <c r="F82">
        <f ca="1">_xll.ciqfunctions.udf.CIQ($B82,"IQ_CDS_mid",F$2)</f>
        <v>56.5</v>
      </c>
      <c r="G82">
        <f ca="1">_xll.ciqfunctions.udf.CIQ($B82,"IQ_CDS_mid",G$2)</f>
        <v>56.5</v>
      </c>
      <c r="H82">
        <f ca="1">_xll.ciqfunctions.udf.CIQ($B82,"IQ_CDS_mid",H$2)</f>
        <v>56.5</v>
      </c>
      <c r="I82">
        <f ca="1">_xll.ciqfunctions.udf.CIQ($B82,"IQ_CDS_mid",I$2)</f>
        <v>56.5</v>
      </c>
      <c r="J82">
        <f ca="1">_xll.ciqfunctions.udf.CIQ($B82,"IQ_CDS_mid",J$2)</f>
        <v>56.5</v>
      </c>
      <c r="K82">
        <f ca="1">_xll.ciqfunctions.udf.CIQ($B82,"IQ_CDS_mid",K$2)</f>
        <v>56.5</v>
      </c>
      <c r="L82">
        <f ca="1">_xll.ciqfunctions.udf.CIQ($B82,"IQ_CDS_mid",L$2)</f>
        <v>56.5</v>
      </c>
      <c r="M82">
        <f ca="1">_xll.ciqfunctions.udf.CIQ($B82,"IQ_CDS_mid",M$2)</f>
        <v>56</v>
      </c>
      <c r="N82">
        <f ca="1">_xll.ciqfunctions.udf.CIQ($B82,"IQ_CDS_mid",N$2)</f>
        <v>56</v>
      </c>
      <c r="O82">
        <f ca="1">_xll.ciqfunctions.udf.CIQ($B82,"IQ_CDS_mid",O$2)</f>
        <v>56</v>
      </c>
      <c r="P82">
        <f ca="1">_xll.ciqfunctions.udf.CIQ($B82,"IQ_CDS_mid",P$2)</f>
        <v>56</v>
      </c>
      <c r="Q82">
        <f ca="1">_xll.ciqfunctions.udf.CIQ($B82,"IQ_CDS_mid",Q$2)</f>
        <v>56</v>
      </c>
      <c r="R82">
        <f ca="1">_xll.ciqfunctions.udf.CIQ($B82,"IQ_CDS_mid",R$2)</f>
        <v>53.540199999999999</v>
      </c>
      <c r="S82">
        <f ca="1">_xll.ciqfunctions.udf.CIQ($B82,"IQ_CDS_mid",S$2)</f>
        <v>46.639200000000002</v>
      </c>
      <c r="T82">
        <f t="shared" ca="1" si="18"/>
        <v>-0.5</v>
      </c>
      <c r="U82">
        <f t="shared" ca="1" si="19"/>
        <v>0</v>
      </c>
      <c r="V82">
        <f t="shared" ca="1" si="20"/>
        <v>0</v>
      </c>
      <c r="W82">
        <f t="shared" ca="1" si="21"/>
        <v>2.4598000000000013</v>
      </c>
      <c r="X82">
        <f t="shared" ca="1" si="13"/>
        <v>9.3607999999999976</v>
      </c>
    </row>
    <row r="83" spans="1:24" ht="15.5">
      <c r="A83" s="22" t="s">
        <v>267</v>
      </c>
      <c r="B83" s="19" t="s">
        <v>268</v>
      </c>
      <c r="C83">
        <f ca="1">_xll.ciqfunctions.udf.CIQ($B83,"IQ_CDS_mid",C$2)</f>
        <v>60.219499999999996</v>
      </c>
      <c r="D83">
        <f ca="1">_xll.ciqfunctions.udf.CIQ($B83,"IQ_CDS_mid",D$2)</f>
        <v>60.219499999999996</v>
      </c>
      <c r="E83">
        <f ca="1">_xll.ciqfunctions.udf.CIQ($B83,"IQ_CDS_mid",E$2)</f>
        <v>60.520600000000002</v>
      </c>
      <c r="F83">
        <f ca="1">_xll.ciqfunctions.udf.CIQ($B83,"IQ_CDS_mid",F$2)</f>
        <v>60.506</v>
      </c>
      <c r="G83">
        <f ca="1">_xll.ciqfunctions.udf.CIQ($B83,"IQ_CDS_mid",G$2)</f>
        <v>60.502299999999998</v>
      </c>
      <c r="H83">
        <f ca="1">_xll.ciqfunctions.udf.CIQ($B83,"IQ_CDS_mid",H$2)</f>
        <v>60.500300000000003</v>
      </c>
      <c r="I83">
        <f ca="1">_xll.ciqfunctions.udf.CIQ($B83,"IQ_CDS_mid",I$2)</f>
        <v>60.500300000000003</v>
      </c>
      <c r="J83">
        <f ca="1">_xll.ciqfunctions.udf.CIQ($B83,"IQ_CDS_mid",J$2)</f>
        <v>60.500300000000003</v>
      </c>
      <c r="K83">
        <f ca="1">_xll.ciqfunctions.udf.CIQ($B83,"IQ_CDS_mid",K$2)</f>
        <v>60.453499999999998</v>
      </c>
      <c r="L83">
        <f ca="1">_xll.ciqfunctions.udf.CIQ($B83,"IQ_CDS_mid",L$2)</f>
        <v>60.325299999999999</v>
      </c>
      <c r="M83">
        <f ca="1">_xll.ciqfunctions.udf.CIQ($B83,"IQ_CDS_mid",M$2)</f>
        <v>59.973199999999999</v>
      </c>
      <c r="N83">
        <f ca="1">_xll.ciqfunctions.udf.CIQ($B83,"IQ_CDS_mid",N$2)</f>
        <v>59.875599999999999</v>
      </c>
      <c r="O83">
        <f ca="1">_xll.ciqfunctions.udf.CIQ($B83,"IQ_CDS_mid",O$2)</f>
        <v>59.635399999999997</v>
      </c>
      <c r="P83">
        <f ca="1">_xll.ciqfunctions.udf.CIQ($B83,"IQ_CDS_mid",P$2)</f>
        <v>59.635399999999997</v>
      </c>
      <c r="Q83">
        <f ca="1">_xll.ciqfunctions.udf.CIQ($B83,"IQ_CDS_mid",Q$2)</f>
        <v>59.635399999999997</v>
      </c>
      <c r="R83">
        <f ca="1">_xll.ciqfunctions.udf.CIQ($B83,"IQ_CDS_mid",R$2)</f>
        <v>53.611800000000002</v>
      </c>
      <c r="S83">
        <f ca="1">_xll.ciqfunctions.udf.CIQ($B83,"IQ_CDS_mid",S$2)</f>
        <v>41.174999999999997</v>
      </c>
      <c r="T83">
        <f t="shared" ca="1" si="18"/>
        <v>-0.28080000000000638</v>
      </c>
      <c r="U83">
        <f t="shared" ca="1" si="19"/>
        <v>0.24629999999999797</v>
      </c>
      <c r="V83">
        <f t="shared" ca="1" si="20"/>
        <v>0.5840999999999994</v>
      </c>
      <c r="W83">
        <f t="shared" ca="1" si="21"/>
        <v>6.6076999999999941</v>
      </c>
      <c r="X83">
        <f t="shared" ca="1" si="13"/>
        <v>19.044499999999999</v>
      </c>
    </row>
    <row r="84" spans="1:24" ht="15.5">
      <c r="A84" s="22" t="s">
        <v>269</v>
      </c>
      <c r="B84" t="s">
        <v>270</v>
      </c>
      <c r="C84">
        <f ca="1">_xll.ciqfunctions.udf.CIQ($B84,"IQ_CDS_mid",C$2)</f>
        <v>60.068199999999997</v>
      </c>
      <c r="D84">
        <f ca="1">_xll.ciqfunctions.udf.CIQ($B84,"IQ_CDS_mid",D$2)</f>
        <v>60.068199999999997</v>
      </c>
      <c r="E84">
        <f ca="1">_xll.ciqfunctions.udf.CIQ($B84,"IQ_CDS_mid",E$2)</f>
        <v>60.554099999999998</v>
      </c>
      <c r="F84">
        <f ca="1">_xll.ciqfunctions.udf.CIQ($B84,"IQ_CDS_mid",F$2)</f>
        <v>60.538899999999998</v>
      </c>
      <c r="G84">
        <f ca="1">_xll.ciqfunctions.udf.CIQ($B84,"IQ_CDS_mid",G$2)</f>
        <v>60.4801</v>
      </c>
      <c r="H84">
        <f ca="1">_xll.ciqfunctions.udf.CIQ($B84,"IQ_CDS_mid",H$2)</f>
        <v>60.514899999999997</v>
      </c>
      <c r="I84">
        <f ca="1">_xll.ciqfunctions.udf.CIQ($B84,"IQ_CDS_mid",I$2)</f>
        <v>60.514899999999997</v>
      </c>
      <c r="J84">
        <f ca="1">_xll.ciqfunctions.udf.CIQ($B84,"IQ_CDS_mid",J$2)</f>
        <v>60.514899999999997</v>
      </c>
      <c r="K84">
        <f ca="1">_xll.ciqfunctions.udf.CIQ($B84,"IQ_CDS_mid",K$2)</f>
        <v>60.530200000000001</v>
      </c>
      <c r="L84">
        <f ca="1">_xll.ciqfunctions.udf.CIQ($B84,"IQ_CDS_mid",L$2)</f>
        <v>60.465000000000003</v>
      </c>
      <c r="M84">
        <f ca="1">_xll.ciqfunctions.udf.CIQ($B84,"IQ_CDS_mid",M$2)</f>
        <v>59.979199999999999</v>
      </c>
      <c r="N84">
        <f ca="1">_xll.ciqfunctions.udf.CIQ($B84,"IQ_CDS_mid",N$2)</f>
        <v>60.020600000000002</v>
      </c>
      <c r="O84">
        <f ca="1">_xll.ciqfunctions.udf.CIQ($B84,"IQ_CDS_mid",O$2)</f>
        <v>60.017400000000002</v>
      </c>
      <c r="P84">
        <f ca="1">_xll.ciqfunctions.udf.CIQ($B84,"IQ_CDS_mid",P$2)</f>
        <v>60.017400000000002</v>
      </c>
      <c r="Q84">
        <f ca="1">_xll.ciqfunctions.udf.CIQ($B84,"IQ_CDS_mid",Q$2)</f>
        <v>60.017400000000002</v>
      </c>
      <c r="R84">
        <f ca="1">_xll.ciqfunctions.udf.CIQ($B84,"IQ_CDS_mid",R$2)</f>
        <v>51.330500000000001</v>
      </c>
      <c r="S84">
        <f ca="1">_xll.ciqfunctions.udf.CIQ($B84,"IQ_CDS_mid",S$2)</f>
        <v>52.125500000000002</v>
      </c>
      <c r="T84">
        <f t="shared" ca="1" si="18"/>
        <v>-0.44669999999999987</v>
      </c>
      <c r="U84">
        <f t="shared" ca="1" si="19"/>
        <v>8.8999999999998636E-2</v>
      </c>
      <c r="V84">
        <f t="shared" ca="1" si="20"/>
        <v>5.0799999999995293E-2</v>
      </c>
      <c r="W84">
        <f t="shared" ca="1" si="21"/>
        <v>8.7376999999999967</v>
      </c>
      <c r="X84">
        <f t="shared" ca="1" si="13"/>
        <v>7.942699999999995</v>
      </c>
    </row>
    <row r="85" spans="1:24" ht="15.5">
      <c r="A85" s="24" t="s">
        <v>271</v>
      </c>
      <c r="B85" s="19"/>
    </row>
  </sheetData>
  <conditionalFormatting sqref="O3:S6 C3:N15 O8:S15 C16:S16 O17:S20 C17:N44 O22:S29 O31:S42 O44:S44 C45:C52 D48:S52 C53:S84">
    <cfRule type="cellIs" dxfId="1" priority="2" operator="greaterThan">
      <formula>150</formula>
    </cfRule>
    <cfRule type="cellIs" priority="3" operator="greaterThan">
      <formula>150</formula>
    </cfRule>
  </conditionalFormatting>
  <conditionalFormatting sqref="T3:U84">
    <cfRule type="cellIs" dxfId="0" priority="1" operator="greaterThan">
      <formula>10</formula>
    </cfRule>
  </conditionalFormatting>
  <pageMargins left="0.7" right="0.7" top="0.75" bottom="0.75" header="0.3" footer="0.3"/>
  <headerFooter>
    <oddHeader>&amp;R&amp;"Aptos"&amp;10&amp;K000000 Category/Catégorie: Non-Sensitive/Non-Délicat&amp;1#_x000D_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Sovereigns</vt:lpstr>
      <vt:lpstr>CDS from CapitalIQ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Josh Evangelista</cp:lastModifiedBy>
  <dcterms:created xsi:type="dcterms:W3CDTF">2026-06-05T17:56:29Z</dcterms:created>
  <dcterms:modified xsi:type="dcterms:W3CDTF">2026-07-17T19:25:27Z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ebacc78-dcc9-4733-835b-33704aeb5fb9_Enabled">
    <vt:lpwstr>true</vt:lpwstr>
  </property>
  <property fmtid="{D5CDD505-2E9C-101B-9397-08002B2CF9AE}" pid="3" name="MSIP_Label_aebacc78-dcc9-4733-835b-33704aeb5fb9_SetDate">
    <vt:lpwstr>2026-07-15T20:08:05Z</vt:lpwstr>
  </property>
  <property fmtid="{D5CDD505-2E9C-101B-9397-08002B2CF9AE}" pid="4" name="MSIP_Label_aebacc78-dcc9-4733-835b-33704aeb5fb9_Method">
    <vt:lpwstr>Privileged</vt:lpwstr>
  </property>
  <property fmtid="{D5CDD505-2E9C-101B-9397-08002B2CF9AE}" pid="5" name="MSIP_Label_aebacc78-dcc9-4733-835b-33704aeb5fb9_Name">
    <vt:lpwstr>Non-Sensitive - Non-Délicat</vt:lpwstr>
  </property>
  <property fmtid="{D5CDD505-2E9C-101B-9397-08002B2CF9AE}" pid="6" name="MSIP_Label_aebacc78-dcc9-4733-835b-33704aeb5fb9_SiteId">
    <vt:lpwstr>164f988b-a2f4-4584-aeaa-21bd4a0234bc</vt:lpwstr>
  </property>
  <property fmtid="{D5CDD505-2E9C-101B-9397-08002B2CF9AE}" pid="7" name="MSIP_Label_aebacc78-dcc9-4733-835b-33704aeb5fb9_ActionId">
    <vt:lpwstr>7da73307-4b9e-4891-867b-eae955d794c4</vt:lpwstr>
  </property>
  <property fmtid="{D5CDD505-2E9C-101B-9397-08002B2CF9AE}" pid="8" name="MSIP_Label_aebacc78-dcc9-4733-835b-33704aeb5fb9_ContentBits">
    <vt:lpwstr>1</vt:lpwstr>
  </property>
  <property fmtid="{D5CDD505-2E9C-101B-9397-08002B2CF9AE}" pid="9" name="MSIP_Label_aebacc78-dcc9-4733-835b-33704aeb5fb9_Tag">
    <vt:lpwstr>10, 0, 1, 1</vt:lpwstr>
  </property>
</Properties>
</file>