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ankofcanada-my.sharepoint.com/personal/evjo_bank-banque-canada_ca/Documents/Monitoring Database/"/>
    </mc:Choice>
  </mc:AlternateContent>
  <xr:revisionPtr revIDLastSave="12315" documentId="11_3EF94CDED7B6C185D3681A71545ED87656CD55A9" xr6:coauthVersionLast="47" xr6:coauthVersionMax="47" xr10:uidLastSave="{4CC3A7EF-5336-4B7A-A6F0-7E682DA36085}"/>
  <bookViews>
    <workbookView xWindow="-110" yWindow="-110" windowWidth="19420" windowHeight="11500" firstSheet="1" activeTab="1" xr2:uid="{00000000-000D-0000-FFFF-FFFF00000000}"/>
  </bookViews>
  <sheets>
    <sheet name="_CIQHiddenCacheSheet" sheetId="788" state="veryHidden" r:id="rId1"/>
    <sheet name="Sovereigns" sheetId="1" r:id="rId2"/>
    <sheet name="CDS from CapitalIQ" sheetId="9" r:id="rId3"/>
  </sheets>
  <externalReferences>
    <externalReference r:id="rId4"/>
    <externalReference r:id="rId5"/>
  </externalReferences>
  <definedNames>
    <definedName name="bank_bloom">'[1]Bloomberg Codes'!$N$2:$U$23</definedName>
    <definedName name="CIQWBGuid" hidden="1">"a1e35fca-c277-497c-81e2-d542523f9f12"</definedName>
    <definedName name="CIQWBInfo" hidden="1">"{ ""CIQVersion"":""9.51.3510.3078"" }"</definedName>
    <definedName name="date_cds">OFFSET(#REF!,0,0,1,COUNTA(#REF!))</definedName>
    <definedName name="date_fx">OFFSET(#REF!,0,0,1,COUNTA(#REF!))</definedName>
    <definedName name="date_lookup">'[1]Sovereign Indicators'!$C$1</definedName>
    <definedName name="date_stock">OFFSET(#REF!,0,0,1,COUNTA(#REF!))</definedName>
    <definedName name="graph_cds_change">OFFSET(#REF!,0,0,1,COUNTA(#REF!))</definedName>
    <definedName name="graph_cds_level">OFFSET(#REF!,0,0,1,COUNTA(#REF!))</definedName>
    <definedName name="graph_fx_change">OFFSET(#REF!,0,0,1,COUNTA(#REF!))</definedName>
    <definedName name="graph_stock_change">OFFSET(#REF!,0,0,1,COUNTA(#REF!))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"06/17/2026 20:53:41"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LTMPriceChartR5" hidden="1">'[2]LTM Price Chart'!$R$6:$R$257</definedName>
    <definedName name="sov_bloom">'[1]Bloomberg Codes'!$A$3:$J$43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 a="1"/>
  <c r="P4" i="1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X7" i="9"/>
  <c r="X21" i="9"/>
  <c r="X30" i="9"/>
  <c r="X43" i="9"/>
  <c r="X45" i="9"/>
  <c r="X46" i="9"/>
  <c r="X47" i="9"/>
  <c r="X55" i="9"/>
  <c r="X59" i="9"/>
  <c r="X62" i="9"/>
  <c r="X67" i="9"/>
  <c r="X70" i="9"/>
  <c r="X72" i="9"/>
  <c r="X78" i="9"/>
  <c r="E3" i="9"/>
  <c r="E4" i="9"/>
  <c r="E5" i="9"/>
  <c r="E6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2" i="9"/>
  <c r="E23" i="9"/>
  <c r="E24" i="9"/>
  <c r="E25" i="9"/>
  <c r="E26" i="9"/>
  <c r="E27" i="9"/>
  <c r="E28" i="9"/>
  <c r="E29" i="9"/>
  <c r="E31" i="9"/>
  <c r="E32" i="9"/>
  <c r="E33" i="9"/>
  <c r="E34" i="9"/>
  <c r="E35" i="9"/>
  <c r="E36" i="9"/>
  <c r="E37" i="9"/>
  <c r="E38" i="9"/>
  <c r="E39" i="9"/>
  <c r="E40" i="9"/>
  <c r="E42" i="9"/>
  <c r="E44" i="9"/>
  <c r="E48" i="9"/>
  <c r="E49" i="9"/>
  <c r="E50" i="9"/>
  <c r="E51" i="9"/>
  <c r="E52" i="9"/>
  <c r="E53" i="9"/>
  <c r="E54" i="9"/>
  <c r="E56" i="9"/>
  <c r="E57" i="9"/>
  <c r="E58" i="9"/>
  <c r="E60" i="9"/>
  <c r="E61" i="9"/>
  <c r="E63" i="9"/>
  <c r="E64" i="9"/>
  <c r="E65" i="9"/>
  <c r="E66" i="9"/>
  <c r="E68" i="9"/>
  <c r="E69" i="9"/>
  <c r="E71" i="9"/>
  <c r="E73" i="9"/>
  <c r="E74" i="9"/>
  <c r="E75" i="9"/>
  <c r="E76" i="9"/>
  <c r="E77" i="9"/>
  <c r="E79" i="9"/>
  <c r="E80" i="9"/>
  <c r="E81" i="9"/>
  <c r="E82" i="9"/>
  <c r="E83" i="9"/>
  <c r="E84" i="9"/>
  <c r="F3" i="9"/>
  <c r="F4" i="9"/>
  <c r="F5" i="9"/>
  <c r="F6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2" i="9"/>
  <c r="F23" i="9"/>
  <c r="F24" i="9"/>
  <c r="F25" i="9"/>
  <c r="F26" i="9"/>
  <c r="F27" i="9"/>
  <c r="F28" i="9"/>
  <c r="F29" i="9"/>
  <c r="F31" i="9"/>
  <c r="F32" i="9"/>
  <c r="F33" i="9"/>
  <c r="F34" i="9"/>
  <c r="F35" i="9"/>
  <c r="F36" i="9"/>
  <c r="F37" i="9"/>
  <c r="F38" i="9"/>
  <c r="F39" i="9"/>
  <c r="F40" i="9"/>
  <c r="F42" i="9"/>
  <c r="F44" i="9"/>
  <c r="F48" i="9"/>
  <c r="F49" i="9"/>
  <c r="F50" i="9"/>
  <c r="F51" i="9"/>
  <c r="F52" i="9"/>
  <c r="F53" i="9"/>
  <c r="F54" i="9"/>
  <c r="F56" i="9"/>
  <c r="F57" i="9"/>
  <c r="F58" i="9"/>
  <c r="F60" i="9"/>
  <c r="F61" i="9"/>
  <c r="F63" i="9"/>
  <c r="F64" i="9"/>
  <c r="F65" i="9"/>
  <c r="F66" i="9"/>
  <c r="F68" i="9"/>
  <c r="F69" i="9"/>
  <c r="F71" i="9"/>
  <c r="F73" i="9"/>
  <c r="F74" i="9"/>
  <c r="F75" i="9"/>
  <c r="F76" i="9"/>
  <c r="F77" i="9"/>
  <c r="F79" i="9"/>
  <c r="F80" i="9"/>
  <c r="F81" i="9"/>
  <c r="F82" i="9"/>
  <c r="F83" i="9"/>
  <c r="F84" i="9"/>
  <c r="G3" i="9"/>
  <c r="G4" i="9"/>
  <c r="G5" i="9"/>
  <c r="G6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2" i="9"/>
  <c r="G23" i="9"/>
  <c r="G24" i="9"/>
  <c r="G25" i="9"/>
  <c r="G26" i="9"/>
  <c r="G27" i="9"/>
  <c r="G28" i="9"/>
  <c r="G29" i="9"/>
  <c r="G31" i="9"/>
  <c r="G32" i="9"/>
  <c r="G33" i="9"/>
  <c r="G34" i="9"/>
  <c r="G35" i="9"/>
  <c r="G36" i="9"/>
  <c r="G37" i="9"/>
  <c r="G38" i="9"/>
  <c r="G39" i="9"/>
  <c r="G40" i="9"/>
  <c r="G42" i="9"/>
  <c r="G44" i="9"/>
  <c r="G48" i="9"/>
  <c r="G49" i="9"/>
  <c r="G50" i="9"/>
  <c r="G51" i="9"/>
  <c r="G52" i="9"/>
  <c r="G53" i="9"/>
  <c r="G54" i="9"/>
  <c r="G56" i="9"/>
  <c r="G57" i="9"/>
  <c r="G58" i="9"/>
  <c r="G60" i="9"/>
  <c r="G61" i="9"/>
  <c r="G63" i="9"/>
  <c r="G64" i="9"/>
  <c r="G65" i="9"/>
  <c r="G66" i="9"/>
  <c r="G68" i="9"/>
  <c r="G69" i="9"/>
  <c r="G71" i="9"/>
  <c r="G73" i="9"/>
  <c r="G74" i="9"/>
  <c r="G75" i="9"/>
  <c r="G76" i="9"/>
  <c r="G77" i="9"/>
  <c r="G79" i="9"/>
  <c r="G80" i="9"/>
  <c r="G81" i="9"/>
  <c r="G82" i="9"/>
  <c r="G83" i="9"/>
  <c r="G84" i="9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2" i="9"/>
  <c r="K23" i="9"/>
  <c r="K24" i="9"/>
  <c r="K25" i="9"/>
  <c r="K26" i="9"/>
  <c r="K27" i="9"/>
  <c r="K28" i="9"/>
  <c r="K29" i="9"/>
  <c r="K31" i="9"/>
  <c r="K32" i="9"/>
  <c r="K33" i="9"/>
  <c r="K34" i="9"/>
  <c r="K35" i="9"/>
  <c r="K36" i="9"/>
  <c r="K37" i="9"/>
  <c r="K38" i="9"/>
  <c r="K39" i="9"/>
  <c r="K40" i="9"/>
  <c r="K42" i="9"/>
  <c r="K44" i="9"/>
  <c r="K48" i="9"/>
  <c r="K49" i="9"/>
  <c r="K50" i="9"/>
  <c r="K51" i="9"/>
  <c r="K52" i="9"/>
  <c r="K53" i="9"/>
  <c r="K54" i="9"/>
  <c r="K56" i="9"/>
  <c r="K57" i="9"/>
  <c r="K58" i="9"/>
  <c r="K60" i="9"/>
  <c r="K61" i="9"/>
  <c r="K63" i="9"/>
  <c r="K64" i="9"/>
  <c r="K65" i="9"/>
  <c r="K66" i="9"/>
  <c r="K68" i="9"/>
  <c r="K69" i="9"/>
  <c r="K71" i="9"/>
  <c r="K73" i="9"/>
  <c r="K74" i="9"/>
  <c r="K75" i="9"/>
  <c r="K76" i="9"/>
  <c r="K77" i="9"/>
  <c r="K79" i="9"/>
  <c r="K80" i="9"/>
  <c r="K81" i="9"/>
  <c r="K82" i="9"/>
  <c r="K83" i="9"/>
  <c r="K84" i="9"/>
  <c r="H3" i="9"/>
  <c r="H4" i="9"/>
  <c r="H5" i="9"/>
  <c r="H6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2" i="9"/>
  <c r="H23" i="9"/>
  <c r="H24" i="9"/>
  <c r="H25" i="9"/>
  <c r="H26" i="9"/>
  <c r="H27" i="9"/>
  <c r="H28" i="9"/>
  <c r="H29" i="9"/>
  <c r="H31" i="9"/>
  <c r="H32" i="9"/>
  <c r="H33" i="9"/>
  <c r="H34" i="9"/>
  <c r="H35" i="9"/>
  <c r="H36" i="9"/>
  <c r="H37" i="9"/>
  <c r="H38" i="9"/>
  <c r="H39" i="9"/>
  <c r="H40" i="9"/>
  <c r="H42" i="9"/>
  <c r="H44" i="9"/>
  <c r="H48" i="9"/>
  <c r="H49" i="9"/>
  <c r="H50" i="9"/>
  <c r="H51" i="9"/>
  <c r="H52" i="9"/>
  <c r="H53" i="9"/>
  <c r="H54" i="9"/>
  <c r="H56" i="9"/>
  <c r="H57" i="9"/>
  <c r="H58" i="9"/>
  <c r="H60" i="9"/>
  <c r="H61" i="9"/>
  <c r="H63" i="9"/>
  <c r="H64" i="9"/>
  <c r="H65" i="9"/>
  <c r="H66" i="9"/>
  <c r="H68" i="9"/>
  <c r="H69" i="9"/>
  <c r="H71" i="9"/>
  <c r="H73" i="9"/>
  <c r="H74" i="9"/>
  <c r="H75" i="9"/>
  <c r="H76" i="9"/>
  <c r="H77" i="9"/>
  <c r="H79" i="9"/>
  <c r="H80" i="9"/>
  <c r="H81" i="9"/>
  <c r="H82" i="9"/>
  <c r="H83" i="9"/>
  <c r="H84" i="9"/>
  <c r="I3" i="9"/>
  <c r="I4" i="9"/>
  <c r="I5" i="9"/>
  <c r="I6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2" i="9"/>
  <c r="I23" i="9"/>
  <c r="I24" i="9"/>
  <c r="I25" i="9"/>
  <c r="I26" i="9"/>
  <c r="I27" i="9"/>
  <c r="I28" i="9"/>
  <c r="I29" i="9"/>
  <c r="I31" i="9"/>
  <c r="I32" i="9"/>
  <c r="I33" i="9"/>
  <c r="I34" i="9"/>
  <c r="I35" i="9"/>
  <c r="I36" i="9"/>
  <c r="I37" i="9"/>
  <c r="I38" i="9"/>
  <c r="I39" i="9"/>
  <c r="I40" i="9"/>
  <c r="I42" i="9"/>
  <c r="I44" i="9"/>
  <c r="I48" i="9"/>
  <c r="I49" i="9"/>
  <c r="I50" i="9"/>
  <c r="I51" i="9"/>
  <c r="I52" i="9"/>
  <c r="I53" i="9"/>
  <c r="I54" i="9"/>
  <c r="I56" i="9"/>
  <c r="I57" i="9"/>
  <c r="I58" i="9"/>
  <c r="I60" i="9"/>
  <c r="I61" i="9"/>
  <c r="I63" i="9"/>
  <c r="I64" i="9"/>
  <c r="I65" i="9"/>
  <c r="I66" i="9"/>
  <c r="I68" i="9"/>
  <c r="I69" i="9"/>
  <c r="I71" i="9"/>
  <c r="I73" i="9"/>
  <c r="I74" i="9"/>
  <c r="I75" i="9"/>
  <c r="I76" i="9"/>
  <c r="I77" i="9"/>
  <c r="I79" i="9"/>
  <c r="I80" i="9"/>
  <c r="I81" i="9"/>
  <c r="I82" i="9"/>
  <c r="I83" i="9"/>
  <c r="I84" i="9"/>
  <c r="L3" i="9"/>
  <c r="L4" i="9"/>
  <c r="L5" i="9"/>
  <c r="L6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2" i="9"/>
  <c r="L23" i="9"/>
  <c r="L24" i="9"/>
  <c r="L25" i="9"/>
  <c r="L26" i="9"/>
  <c r="L27" i="9"/>
  <c r="L28" i="9"/>
  <c r="L29" i="9"/>
  <c r="L31" i="9"/>
  <c r="L32" i="9"/>
  <c r="L33" i="9"/>
  <c r="L34" i="9"/>
  <c r="L35" i="9"/>
  <c r="L36" i="9"/>
  <c r="L37" i="9"/>
  <c r="L38" i="9"/>
  <c r="L39" i="9"/>
  <c r="L40" i="9"/>
  <c r="L42" i="9"/>
  <c r="L44" i="9"/>
  <c r="L48" i="9"/>
  <c r="L49" i="9"/>
  <c r="L50" i="9"/>
  <c r="L51" i="9"/>
  <c r="L52" i="9"/>
  <c r="L53" i="9"/>
  <c r="L54" i="9"/>
  <c r="L56" i="9"/>
  <c r="L57" i="9"/>
  <c r="L58" i="9"/>
  <c r="L60" i="9"/>
  <c r="L61" i="9"/>
  <c r="L63" i="9"/>
  <c r="L64" i="9"/>
  <c r="L65" i="9"/>
  <c r="L66" i="9"/>
  <c r="L68" i="9"/>
  <c r="L69" i="9"/>
  <c r="L71" i="9"/>
  <c r="L73" i="9"/>
  <c r="L74" i="9"/>
  <c r="L75" i="9"/>
  <c r="L76" i="9"/>
  <c r="L77" i="9"/>
  <c r="L79" i="9"/>
  <c r="L80" i="9"/>
  <c r="L81" i="9"/>
  <c r="L82" i="9"/>
  <c r="L83" i="9"/>
  <c r="L84" i="9"/>
  <c r="S3" i="9"/>
  <c r="S4" i="9"/>
  <c r="S5" i="9"/>
  <c r="S6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2" i="9"/>
  <c r="S23" i="9"/>
  <c r="S24" i="9"/>
  <c r="S25" i="9"/>
  <c r="S26" i="9"/>
  <c r="S27" i="9"/>
  <c r="S28" i="9"/>
  <c r="S29" i="9"/>
  <c r="S31" i="9"/>
  <c r="S32" i="9"/>
  <c r="S33" i="9"/>
  <c r="S34" i="9"/>
  <c r="S35" i="9"/>
  <c r="S36" i="9"/>
  <c r="S37" i="9"/>
  <c r="S38" i="9"/>
  <c r="S39" i="9"/>
  <c r="S40" i="9"/>
  <c r="S42" i="9"/>
  <c r="S44" i="9"/>
  <c r="S48" i="9"/>
  <c r="S49" i="9"/>
  <c r="S50" i="9"/>
  <c r="S51" i="9"/>
  <c r="S52" i="9"/>
  <c r="S53" i="9"/>
  <c r="S54" i="9"/>
  <c r="S56" i="9"/>
  <c r="S57" i="9"/>
  <c r="S58" i="9"/>
  <c r="S60" i="9"/>
  <c r="S61" i="9"/>
  <c r="S63" i="9"/>
  <c r="S64" i="9"/>
  <c r="S65" i="9"/>
  <c r="S66" i="9"/>
  <c r="S68" i="9"/>
  <c r="S69" i="9"/>
  <c r="S71" i="9"/>
  <c r="S73" i="9"/>
  <c r="S74" i="9"/>
  <c r="S75" i="9"/>
  <c r="S76" i="9"/>
  <c r="S77" i="9"/>
  <c r="S79" i="9"/>
  <c r="S80" i="9"/>
  <c r="S81" i="9"/>
  <c r="S82" i="9"/>
  <c r="S83" i="9"/>
  <c r="S84" i="9"/>
  <c r="J3" i="9"/>
  <c r="J4" i="9"/>
  <c r="J5" i="9"/>
  <c r="J6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2" i="9"/>
  <c r="J23" i="9"/>
  <c r="J24" i="9"/>
  <c r="J25" i="9"/>
  <c r="J26" i="9"/>
  <c r="J27" i="9"/>
  <c r="J28" i="9"/>
  <c r="J29" i="9"/>
  <c r="J31" i="9"/>
  <c r="J32" i="9"/>
  <c r="J33" i="9"/>
  <c r="J34" i="9"/>
  <c r="J35" i="9"/>
  <c r="J36" i="9"/>
  <c r="J37" i="9"/>
  <c r="J38" i="9"/>
  <c r="J39" i="9"/>
  <c r="J40" i="9"/>
  <c r="J42" i="9"/>
  <c r="J44" i="9"/>
  <c r="J48" i="9"/>
  <c r="J49" i="9"/>
  <c r="J50" i="9"/>
  <c r="J51" i="9"/>
  <c r="J52" i="9"/>
  <c r="J53" i="9"/>
  <c r="J54" i="9"/>
  <c r="J56" i="9"/>
  <c r="J57" i="9"/>
  <c r="J58" i="9"/>
  <c r="J60" i="9"/>
  <c r="J61" i="9"/>
  <c r="J63" i="9"/>
  <c r="J64" i="9"/>
  <c r="J65" i="9"/>
  <c r="J66" i="9"/>
  <c r="J68" i="9"/>
  <c r="J69" i="9"/>
  <c r="J71" i="9"/>
  <c r="J73" i="9"/>
  <c r="J74" i="9"/>
  <c r="J75" i="9"/>
  <c r="J76" i="9"/>
  <c r="J77" i="9"/>
  <c r="J79" i="9"/>
  <c r="J80" i="9"/>
  <c r="J81" i="9"/>
  <c r="J82" i="9"/>
  <c r="J83" i="9"/>
  <c r="J84" i="9"/>
  <c r="M3" i="9"/>
  <c r="M4" i="9"/>
  <c r="M5" i="9"/>
  <c r="M6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2" i="9"/>
  <c r="M23" i="9"/>
  <c r="M24" i="9"/>
  <c r="M25" i="9"/>
  <c r="M26" i="9"/>
  <c r="M27" i="9"/>
  <c r="M28" i="9"/>
  <c r="M29" i="9"/>
  <c r="M31" i="9"/>
  <c r="M32" i="9"/>
  <c r="M33" i="9"/>
  <c r="M34" i="9"/>
  <c r="M35" i="9"/>
  <c r="M36" i="9"/>
  <c r="M37" i="9"/>
  <c r="M38" i="9"/>
  <c r="M39" i="9"/>
  <c r="M40" i="9"/>
  <c r="M42" i="9"/>
  <c r="M44" i="9"/>
  <c r="M48" i="9"/>
  <c r="M49" i="9"/>
  <c r="M50" i="9"/>
  <c r="M51" i="9"/>
  <c r="M52" i="9"/>
  <c r="M53" i="9"/>
  <c r="M54" i="9"/>
  <c r="M56" i="9"/>
  <c r="M57" i="9"/>
  <c r="M58" i="9"/>
  <c r="M60" i="9"/>
  <c r="M61" i="9"/>
  <c r="M63" i="9"/>
  <c r="M64" i="9"/>
  <c r="M65" i="9"/>
  <c r="M66" i="9"/>
  <c r="M68" i="9"/>
  <c r="M69" i="9"/>
  <c r="M71" i="9"/>
  <c r="M73" i="9"/>
  <c r="M74" i="9"/>
  <c r="M75" i="9"/>
  <c r="M76" i="9"/>
  <c r="M77" i="9"/>
  <c r="M79" i="9"/>
  <c r="M80" i="9"/>
  <c r="M81" i="9"/>
  <c r="M82" i="9"/>
  <c r="M83" i="9"/>
  <c r="M84" i="9"/>
  <c r="N3" i="9"/>
  <c r="N4" i="9"/>
  <c r="N5" i="9"/>
  <c r="N6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2" i="9"/>
  <c r="N23" i="9"/>
  <c r="N24" i="9"/>
  <c r="N25" i="9"/>
  <c r="N26" i="9"/>
  <c r="N27" i="9"/>
  <c r="N28" i="9"/>
  <c r="N29" i="9"/>
  <c r="N31" i="9"/>
  <c r="N32" i="9"/>
  <c r="N33" i="9"/>
  <c r="N34" i="9"/>
  <c r="N35" i="9"/>
  <c r="N36" i="9"/>
  <c r="N37" i="9"/>
  <c r="N38" i="9"/>
  <c r="N39" i="9"/>
  <c r="N40" i="9"/>
  <c r="N42" i="9"/>
  <c r="N44" i="9"/>
  <c r="N48" i="9"/>
  <c r="N49" i="9"/>
  <c r="N50" i="9"/>
  <c r="N51" i="9"/>
  <c r="N52" i="9"/>
  <c r="N53" i="9"/>
  <c r="N54" i="9"/>
  <c r="N56" i="9"/>
  <c r="N57" i="9"/>
  <c r="N58" i="9"/>
  <c r="N60" i="9"/>
  <c r="N61" i="9"/>
  <c r="N63" i="9"/>
  <c r="N64" i="9"/>
  <c r="N65" i="9"/>
  <c r="N66" i="9"/>
  <c r="N68" i="9"/>
  <c r="N69" i="9"/>
  <c r="N71" i="9"/>
  <c r="N73" i="9"/>
  <c r="N74" i="9"/>
  <c r="N75" i="9"/>
  <c r="N76" i="9"/>
  <c r="N77" i="9"/>
  <c r="N79" i="9"/>
  <c r="N80" i="9"/>
  <c r="N81" i="9"/>
  <c r="N82" i="9"/>
  <c r="N83" i="9"/>
  <c r="N84" i="9"/>
  <c r="O3" i="9"/>
  <c r="O4" i="9"/>
  <c r="O5" i="9"/>
  <c r="O6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2" i="9"/>
  <c r="O23" i="9"/>
  <c r="O24" i="9"/>
  <c r="O25" i="9"/>
  <c r="O26" i="9"/>
  <c r="O27" i="9"/>
  <c r="O28" i="9"/>
  <c r="O29" i="9"/>
  <c r="O31" i="9"/>
  <c r="O32" i="9"/>
  <c r="O33" i="9"/>
  <c r="O34" i="9"/>
  <c r="O35" i="9"/>
  <c r="O36" i="9"/>
  <c r="O37" i="9"/>
  <c r="O38" i="9"/>
  <c r="O39" i="9"/>
  <c r="O40" i="9"/>
  <c r="O42" i="9"/>
  <c r="O44" i="9"/>
  <c r="O48" i="9"/>
  <c r="O49" i="9"/>
  <c r="O50" i="9"/>
  <c r="O51" i="9"/>
  <c r="O52" i="9"/>
  <c r="O53" i="9"/>
  <c r="O54" i="9"/>
  <c r="O56" i="9"/>
  <c r="O57" i="9"/>
  <c r="O58" i="9"/>
  <c r="O60" i="9"/>
  <c r="O61" i="9"/>
  <c r="O63" i="9"/>
  <c r="O64" i="9"/>
  <c r="O65" i="9"/>
  <c r="O66" i="9"/>
  <c r="O68" i="9"/>
  <c r="O69" i="9"/>
  <c r="O71" i="9"/>
  <c r="O73" i="9"/>
  <c r="O74" i="9"/>
  <c r="O75" i="9"/>
  <c r="O76" i="9"/>
  <c r="O77" i="9"/>
  <c r="O79" i="9"/>
  <c r="O80" i="9"/>
  <c r="O81" i="9"/>
  <c r="O82" i="9"/>
  <c r="O83" i="9"/>
  <c r="O84" i="9"/>
  <c r="P3" i="9"/>
  <c r="P4" i="9"/>
  <c r="P5" i="9"/>
  <c r="P6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2" i="9"/>
  <c r="P23" i="9"/>
  <c r="P24" i="9"/>
  <c r="P25" i="9"/>
  <c r="P26" i="9"/>
  <c r="P27" i="9"/>
  <c r="P28" i="9"/>
  <c r="P29" i="9"/>
  <c r="P31" i="9"/>
  <c r="P32" i="9"/>
  <c r="P33" i="9"/>
  <c r="P34" i="9"/>
  <c r="P35" i="9"/>
  <c r="P36" i="9"/>
  <c r="P37" i="9"/>
  <c r="P38" i="9"/>
  <c r="P39" i="9"/>
  <c r="P40" i="9"/>
  <c r="P42" i="9"/>
  <c r="P44" i="9"/>
  <c r="P48" i="9"/>
  <c r="P49" i="9"/>
  <c r="P50" i="9"/>
  <c r="P51" i="9"/>
  <c r="P52" i="9"/>
  <c r="P53" i="9"/>
  <c r="P54" i="9"/>
  <c r="P56" i="9"/>
  <c r="P57" i="9"/>
  <c r="P58" i="9"/>
  <c r="P60" i="9"/>
  <c r="P61" i="9"/>
  <c r="P63" i="9"/>
  <c r="P64" i="9"/>
  <c r="P65" i="9"/>
  <c r="P66" i="9"/>
  <c r="P68" i="9"/>
  <c r="P69" i="9"/>
  <c r="P71" i="9"/>
  <c r="P73" i="9"/>
  <c r="P74" i="9"/>
  <c r="P75" i="9"/>
  <c r="P76" i="9"/>
  <c r="P77" i="9"/>
  <c r="P79" i="9"/>
  <c r="P80" i="9"/>
  <c r="P81" i="9"/>
  <c r="P82" i="9"/>
  <c r="P83" i="9"/>
  <c r="P84" i="9"/>
  <c r="Q3" i="9"/>
  <c r="Q4" i="9"/>
  <c r="Q5" i="9"/>
  <c r="Q6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2" i="9"/>
  <c r="Q23" i="9"/>
  <c r="Q24" i="9"/>
  <c r="Q25" i="9"/>
  <c r="Q26" i="9"/>
  <c r="Q27" i="9"/>
  <c r="Q28" i="9"/>
  <c r="Q29" i="9"/>
  <c r="Q31" i="9"/>
  <c r="Q32" i="9"/>
  <c r="Q33" i="9"/>
  <c r="Q34" i="9"/>
  <c r="Q35" i="9"/>
  <c r="Q36" i="9"/>
  <c r="Q37" i="9"/>
  <c r="Q38" i="9"/>
  <c r="Q39" i="9"/>
  <c r="Q40" i="9"/>
  <c r="Q42" i="9"/>
  <c r="Q44" i="9"/>
  <c r="Q48" i="9"/>
  <c r="Q49" i="9"/>
  <c r="Q50" i="9"/>
  <c r="Q51" i="9"/>
  <c r="Q52" i="9"/>
  <c r="Q53" i="9"/>
  <c r="Q54" i="9"/>
  <c r="Q56" i="9"/>
  <c r="Q57" i="9"/>
  <c r="Q58" i="9"/>
  <c r="Q60" i="9"/>
  <c r="Q61" i="9"/>
  <c r="Q63" i="9"/>
  <c r="Q64" i="9"/>
  <c r="Q65" i="9"/>
  <c r="Q66" i="9"/>
  <c r="Q68" i="9"/>
  <c r="Q69" i="9"/>
  <c r="Q71" i="9"/>
  <c r="Q73" i="9"/>
  <c r="Q74" i="9"/>
  <c r="Q75" i="9"/>
  <c r="Q76" i="9"/>
  <c r="Q77" i="9"/>
  <c r="Q79" i="9"/>
  <c r="Q80" i="9"/>
  <c r="Q81" i="9"/>
  <c r="Q82" i="9"/>
  <c r="Q83" i="9"/>
  <c r="Q84" i="9"/>
  <c r="R3" i="9"/>
  <c r="R4" i="9"/>
  <c r="R5" i="9"/>
  <c r="R6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2" i="9"/>
  <c r="R23" i="9"/>
  <c r="R24" i="9"/>
  <c r="R25" i="9"/>
  <c r="R26" i="9"/>
  <c r="R27" i="9"/>
  <c r="R28" i="9"/>
  <c r="R29" i="9"/>
  <c r="R31" i="9"/>
  <c r="R32" i="9"/>
  <c r="R33" i="9"/>
  <c r="R34" i="9"/>
  <c r="R35" i="9"/>
  <c r="R36" i="9"/>
  <c r="R37" i="9"/>
  <c r="R38" i="9"/>
  <c r="R39" i="9"/>
  <c r="R40" i="9"/>
  <c r="R42" i="9"/>
  <c r="R44" i="9"/>
  <c r="R48" i="9"/>
  <c r="R49" i="9"/>
  <c r="R50" i="9"/>
  <c r="R51" i="9"/>
  <c r="R52" i="9"/>
  <c r="R53" i="9"/>
  <c r="R54" i="9"/>
  <c r="R56" i="9"/>
  <c r="R57" i="9"/>
  <c r="R58" i="9"/>
  <c r="R60" i="9"/>
  <c r="R61" i="9"/>
  <c r="R63" i="9"/>
  <c r="R64" i="9"/>
  <c r="R65" i="9"/>
  <c r="R66" i="9"/>
  <c r="R68" i="9"/>
  <c r="R69" i="9"/>
  <c r="R71" i="9"/>
  <c r="R73" i="9"/>
  <c r="R74" i="9"/>
  <c r="R75" i="9"/>
  <c r="R76" i="9"/>
  <c r="R77" i="9"/>
  <c r="R79" i="9"/>
  <c r="R80" i="9"/>
  <c r="R81" i="9"/>
  <c r="R82" i="9"/>
  <c r="R83" i="9"/>
  <c r="R84" i="9"/>
  <c r="C3" i="9"/>
  <c r="C4" i="9"/>
  <c r="C5" i="9"/>
  <c r="C6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2" i="9"/>
  <c r="C23" i="9"/>
  <c r="C24" i="9"/>
  <c r="C25" i="9"/>
  <c r="C26" i="9"/>
  <c r="C27" i="9"/>
  <c r="C28" i="9"/>
  <c r="C29" i="9"/>
  <c r="C31" i="9"/>
  <c r="C32" i="9"/>
  <c r="C33" i="9"/>
  <c r="C34" i="9"/>
  <c r="C35" i="9"/>
  <c r="C36" i="9"/>
  <c r="C37" i="9"/>
  <c r="C38" i="9"/>
  <c r="C39" i="9"/>
  <c r="C40" i="9"/>
  <c r="C42" i="9"/>
  <c r="C44" i="9"/>
  <c r="C48" i="9"/>
  <c r="C49" i="9"/>
  <c r="C50" i="9"/>
  <c r="C51" i="9"/>
  <c r="C52" i="9"/>
  <c r="C53" i="9"/>
  <c r="C54" i="9"/>
  <c r="C56" i="9"/>
  <c r="C57" i="9"/>
  <c r="C58" i="9"/>
  <c r="C60" i="9"/>
  <c r="C61" i="9"/>
  <c r="C63" i="9"/>
  <c r="C64" i="9"/>
  <c r="C65" i="9"/>
  <c r="C66" i="9"/>
  <c r="C68" i="9"/>
  <c r="C69" i="9"/>
  <c r="C71" i="9"/>
  <c r="C73" i="9"/>
  <c r="C74" i="9"/>
  <c r="C75" i="9"/>
  <c r="C76" i="9"/>
  <c r="C77" i="9"/>
  <c r="C79" i="9"/>
  <c r="C80" i="9"/>
  <c r="C81" i="9"/>
  <c r="C82" i="9"/>
  <c r="C83" i="9"/>
  <c r="C84" i="9"/>
  <c r="D3" i="9"/>
  <c r="D4" i="9"/>
  <c r="D5" i="9"/>
  <c r="D6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2" i="9"/>
  <c r="D23" i="9"/>
  <c r="D24" i="9"/>
  <c r="D25" i="9"/>
  <c r="D26" i="9"/>
  <c r="D27" i="9"/>
  <c r="D28" i="9"/>
  <c r="D29" i="9"/>
  <c r="D31" i="9"/>
  <c r="D32" i="9"/>
  <c r="D33" i="9"/>
  <c r="D34" i="9"/>
  <c r="D35" i="9"/>
  <c r="D36" i="9"/>
  <c r="D37" i="9"/>
  <c r="D38" i="9"/>
  <c r="D39" i="9"/>
  <c r="D40" i="9"/>
  <c r="D42" i="9"/>
  <c r="D44" i="9"/>
  <c r="D48" i="9"/>
  <c r="D49" i="9"/>
  <c r="D50" i="9"/>
  <c r="D51" i="9"/>
  <c r="D52" i="9"/>
  <c r="D53" i="9"/>
  <c r="D54" i="9"/>
  <c r="D56" i="9"/>
  <c r="D57" i="9"/>
  <c r="D58" i="9"/>
  <c r="D60" i="9"/>
  <c r="D61" i="9"/>
  <c r="D63" i="9"/>
  <c r="D64" i="9"/>
  <c r="D65" i="9"/>
  <c r="D66" i="9"/>
  <c r="D68" i="9"/>
  <c r="D69" i="9"/>
  <c r="D71" i="9"/>
  <c r="D73" i="9"/>
  <c r="D74" i="9"/>
  <c r="D75" i="9"/>
  <c r="D76" i="9"/>
  <c r="D77" i="9"/>
  <c r="D79" i="9"/>
  <c r="D80" i="9"/>
  <c r="D81" i="9"/>
  <c r="D82" i="9"/>
  <c r="D83" i="9"/>
  <c r="D84" i="9"/>
  <c r="H8" i="1" a="1"/>
  <c r="U84" i="9" l="1"/>
  <c r="V84" i="9"/>
  <c r="W84" i="9"/>
  <c r="X84" i="9"/>
  <c r="T84" i="9"/>
  <c r="U83" i="9"/>
  <c r="T83" i="9"/>
  <c r="V83" i="9"/>
  <c r="W83" i="9"/>
  <c r="X83" i="9"/>
  <c r="V82" i="9"/>
  <c r="X82" i="9"/>
  <c r="W82" i="9"/>
  <c r="T82" i="9"/>
  <c r="U82" i="9"/>
  <c r="W81" i="9"/>
  <c r="T81" i="9"/>
  <c r="V81" i="9"/>
  <c r="U81" i="9"/>
  <c r="X81" i="9"/>
  <c r="U80" i="9"/>
  <c r="V80" i="9"/>
  <c r="T80" i="9"/>
  <c r="W80" i="9"/>
  <c r="X80" i="9"/>
  <c r="T79" i="9"/>
  <c r="X79" i="9"/>
  <c r="V79" i="9"/>
  <c r="W79" i="9"/>
  <c r="U79" i="9"/>
  <c r="T77" i="9"/>
  <c r="X77" i="9"/>
  <c r="W77" i="9"/>
  <c r="V77" i="9"/>
  <c r="U77" i="9"/>
  <c r="T76" i="9"/>
  <c r="U76" i="9"/>
  <c r="W76" i="9"/>
  <c r="X76" i="9"/>
  <c r="V76" i="9"/>
  <c r="V75" i="9"/>
  <c r="W75" i="9"/>
  <c r="X75" i="9"/>
  <c r="T75" i="9"/>
  <c r="U75" i="9"/>
  <c r="U74" i="9"/>
  <c r="T74" i="9"/>
  <c r="V74" i="9"/>
  <c r="X74" i="9"/>
  <c r="W74" i="9"/>
  <c r="X73" i="9"/>
  <c r="T73" i="9"/>
  <c r="V73" i="9"/>
  <c r="U73" i="9"/>
  <c r="W73" i="9"/>
  <c r="T71" i="9"/>
  <c r="U71" i="9"/>
  <c r="V71" i="9"/>
  <c r="W71" i="9"/>
  <c r="X71" i="9"/>
  <c r="X69" i="9"/>
  <c r="U69" i="9"/>
  <c r="T69" i="9"/>
  <c r="V69" i="9"/>
  <c r="W69" i="9"/>
  <c r="V68" i="9"/>
  <c r="W68" i="9"/>
  <c r="T68" i="9"/>
  <c r="U68" i="9"/>
  <c r="X68" i="9"/>
  <c r="U66" i="9"/>
  <c r="V66" i="9"/>
  <c r="X66" i="9"/>
  <c r="T66" i="9"/>
  <c r="W66" i="9"/>
  <c r="T65" i="9"/>
  <c r="U65" i="9"/>
  <c r="V65" i="9"/>
  <c r="W65" i="9"/>
  <c r="X65" i="9"/>
  <c r="X64" i="9"/>
  <c r="T64" i="9"/>
  <c r="U64" i="9"/>
  <c r="W64" i="9"/>
  <c r="V64" i="9"/>
  <c r="X63" i="9"/>
  <c r="U63" i="9"/>
  <c r="W63" i="9"/>
  <c r="T63" i="9"/>
  <c r="V63" i="9"/>
  <c r="X61" i="9"/>
  <c r="T61" i="9"/>
  <c r="V61" i="9"/>
  <c r="U61" i="9"/>
  <c r="W61" i="9"/>
  <c r="U60" i="9"/>
  <c r="V60" i="9"/>
  <c r="W60" i="9"/>
  <c r="X60" i="9"/>
  <c r="T60" i="9"/>
  <c r="U58" i="9"/>
  <c r="V58" i="9"/>
  <c r="T58" i="9"/>
  <c r="X58" i="9"/>
  <c r="W58" i="9"/>
  <c r="V57" i="9"/>
  <c r="W57" i="9"/>
  <c r="T57" i="9"/>
  <c r="U57" i="9"/>
  <c r="X57" i="9"/>
  <c r="W56" i="9"/>
  <c r="T56" i="9"/>
  <c r="U56" i="9"/>
  <c r="X56" i="9"/>
  <c r="V56" i="9"/>
  <c r="W54" i="9"/>
  <c r="X54" i="9"/>
  <c r="T54" i="9"/>
  <c r="U54" i="9"/>
  <c r="V54" i="9"/>
  <c r="U53" i="9"/>
  <c r="T53" i="9"/>
  <c r="V53" i="9"/>
  <c r="W53" i="9"/>
  <c r="X53" i="9"/>
  <c r="V52" i="9"/>
  <c r="U52" i="9"/>
  <c r="W52" i="9"/>
  <c r="T52" i="9"/>
  <c r="X52" i="9"/>
  <c r="T51" i="9"/>
  <c r="U51" i="9"/>
  <c r="V51" i="9"/>
  <c r="X51" i="9"/>
  <c r="W51" i="9"/>
  <c r="W50" i="9"/>
  <c r="X50" i="9"/>
  <c r="U50" i="9"/>
  <c r="V50" i="9"/>
  <c r="T50" i="9"/>
  <c r="V49" i="9"/>
  <c r="W49" i="9"/>
  <c r="U49" i="9"/>
  <c r="T49" i="9"/>
  <c r="X49" i="9"/>
  <c r="X48" i="9"/>
  <c r="T48" i="9"/>
  <c r="U48" i="9"/>
  <c r="V48" i="9"/>
  <c r="W48" i="9"/>
  <c r="U44" i="9"/>
  <c r="V44" i="9"/>
  <c r="W44" i="9"/>
  <c r="X44" i="9"/>
  <c r="T44" i="9"/>
  <c r="W42" i="9"/>
  <c r="U42" i="9"/>
  <c r="T42" i="9"/>
  <c r="V42" i="9"/>
  <c r="X42" i="9"/>
  <c r="W40" i="9"/>
  <c r="T40" i="9"/>
  <c r="U40" i="9"/>
  <c r="V40" i="9"/>
  <c r="X40" i="9"/>
  <c r="X39" i="9"/>
  <c r="T39" i="9"/>
  <c r="U39" i="9"/>
  <c r="W39" i="9"/>
  <c r="V39" i="9"/>
  <c r="V38" i="9"/>
  <c r="W38" i="9"/>
  <c r="U38" i="9"/>
  <c r="X38" i="9"/>
  <c r="T38" i="9"/>
  <c r="X37" i="9"/>
  <c r="T37" i="9"/>
  <c r="U37" i="9"/>
  <c r="W37" i="9"/>
  <c r="V37" i="9"/>
  <c r="W36" i="9"/>
  <c r="V36" i="9"/>
  <c r="T36" i="9"/>
  <c r="U36" i="9"/>
  <c r="X36" i="9"/>
  <c r="T35" i="9"/>
  <c r="X35" i="9"/>
  <c r="U35" i="9"/>
  <c r="W35" i="9"/>
  <c r="V35" i="9"/>
  <c r="V34" i="9"/>
  <c r="W34" i="9"/>
  <c r="T34" i="9"/>
  <c r="X34" i="9"/>
  <c r="U34" i="9"/>
  <c r="U33" i="9"/>
  <c r="V33" i="9"/>
  <c r="W33" i="9"/>
  <c r="T33" i="9"/>
  <c r="X33" i="9"/>
  <c r="X32" i="9"/>
  <c r="T32" i="9"/>
  <c r="U32" i="9"/>
  <c r="V32" i="9"/>
  <c r="W32" i="9"/>
  <c r="T31" i="9"/>
  <c r="U31" i="9"/>
  <c r="W31" i="9"/>
  <c r="V31" i="9"/>
  <c r="X31" i="9"/>
  <c r="W29" i="9"/>
  <c r="X29" i="9"/>
  <c r="T29" i="9"/>
  <c r="U29" i="9"/>
  <c r="V29" i="9"/>
  <c r="U28" i="9"/>
  <c r="W28" i="9"/>
  <c r="V28" i="9"/>
  <c r="T28" i="9"/>
  <c r="X28" i="9"/>
  <c r="T27" i="9"/>
  <c r="U27" i="9"/>
  <c r="V27" i="9"/>
  <c r="W27" i="9"/>
  <c r="X27" i="9"/>
  <c r="T26" i="9"/>
  <c r="U26" i="9"/>
  <c r="V26" i="9"/>
  <c r="X26" i="9"/>
  <c r="W26" i="9"/>
  <c r="V25" i="9"/>
  <c r="W25" i="9"/>
  <c r="X25" i="9"/>
  <c r="T25" i="9"/>
  <c r="U25" i="9"/>
  <c r="U24" i="9"/>
  <c r="V24" i="9"/>
  <c r="X24" i="9"/>
  <c r="T24" i="9"/>
  <c r="W24" i="9"/>
  <c r="T23" i="9"/>
  <c r="U23" i="9"/>
  <c r="V23" i="9"/>
  <c r="W23" i="9"/>
  <c r="X23" i="9"/>
  <c r="T22" i="9"/>
  <c r="U22" i="9"/>
  <c r="V22" i="9"/>
  <c r="X22" i="9"/>
  <c r="W22" i="9"/>
  <c r="X20" i="9"/>
  <c r="V20" i="9"/>
  <c r="U20" i="9"/>
  <c r="T20" i="9"/>
  <c r="W20" i="9"/>
  <c r="T19" i="9"/>
  <c r="V19" i="9"/>
  <c r="W19" i="9"/>
  <c r="U19" i="9"/>
  <c r="X19" i="9"/>
  <c r="V18" i="9"/>
  <c r="W18" i="9"/>
  <c r="X18" i="9"/>
  <c r="U18" i="9"/>
  <c r="T18" i="9"/>
  <c r="T17" i="9"/>
  <c r="U17" i="9"/>
  <c r="V17" i="9"/>
  <c r="W17" i="9"/>
  <c r="X17" i="9"/>
  <c r="X16" i="9"/>
  <c r="V16" i="9"/>
  <c r="T16" i="9"/>
  <c r="U16" i="9"/>
  <c r="W16" i="9"/>
  <c r="U15" i="9"/>
  <c r="W15" i="9"/>
  <c r="X15" i="9"/>
  <c r="T15" i="9"/>
  <c r="V15" i="9"/>
  <c r="W14" i="9"/>
  <c r="V14" i="9"/>
  <c r="T14" i="9"/>
  <c r="X14" i="9"/>
  <c r="U14" i="9"/>
  <c r="T13" i="9"/>
  <c r="U13" i="9"/>
  <c r="V13" i="9"/>
  <c r="W13" i="9"/>
  <c r="X13" i="9"/>
  <c r="X12" i="9"/>
  <c r="T12" i="9"/>
  <c r="U12" i="9"/>
  <c r="W12" i="9"/>
  <c r="V12" i="9"/>
  <c r="X11" i="9"/>
  <c r="T11" i="9"/>
  <c r="V11" i="9"/>
  <c r="W11" i="9"/>
  <c r="U11" i="9"/>
  <c r="U10" i="9"/>
  <c r="X10" i="9"/>
  <c r="T10" i="9"/>
  <c r="V10" i="9"/>
  <c r="W10" i="9"/>
  <c r="T9" i="9"/>
  <c r="U9" i="9"/>
  <c r="V9" i="9"/>
  <c r="W9" i="9"/>
  <c r="X9" i="9"/>
  <c r="X8" i="9"/>
  <c r="W8" i="9"/>
  <c r="U8" i="9"/>
  <c r="T8" i="9"/>
  <c r="V8" i="9"/>
  <c r="T6" i="9"/>
  <c r="V6" i="9"/>
  <c r="X6" i="9"/>
  <c r="U6" i="9"/>
  <c r="W6" i="9"/>
  <c r="W5" i="9"/>
  <c r="X5" i="9"/>
  <c r="T5" i="9"/>
  <c r="U5" i="9"/>
  <c r="V5" i="9"/>
  <c r="T4" i="9"/>
  <c r="U4" i="9"/>
  <c r="V4" i="9"/>
  <c r="W4" i="9"/>
  <c r="X4" i="9"/>
  <c r="T3" i="9"/>
  <c r="D8" i="1" s="1"/>
  <c r="X3" i="9"/>
  <c r="G8" i="1" s="1"/>
  <c r="W3" i="9"/>
  <c r="F8" i="1" s="1"/>
  <c r="C8" i="1"/>
  <c r="U3" i="9"/>
  <c r="V3" i="9"/>
  <c r="E8" i="1" s="1"/>
  <c r="H8" i="1"/>
  <c r="I8" i="1" a="1"/>
  <c r="I8" i="1"/>
  <c r="J8" i="1" a="1"/>
  <c r="J8" i="1"/>
  <c r="K8" i="1" a="1"/>
  <c r="K8" i="1"/>
  <c r="L8" i="1" a="1"/>
  <c r="L8" i="1"/>
  <c r="M8" i="1" a="1"/>
  <c r="M8" i="1"/>
  <c r="N8" i="1" a="1"/>
  <c r="N8" i="1"/>
  <c r="O8" i="1" a="1"/>
  <c r="O8" i="1"/>
  <c r="R8" i="1" a="1"/>
  <c r="R8" i="1"/>
  <c r="S8" i="1" a="1"/>
  <c r="S8" i="1"/>
  <c r="U8" i="1" a="1"/>
  <c r="U8" i="1"/>
  <c r="V8" i="1" a="1"/>
  <c r="V8" i="1"/>
  <c r="C9" i="1"/>
  <c r="D9" i="1"/>
  <c r="E9" i="1"/>
  <c r="F9" i="1"/>
  <c r="G9" i="1"/>
  <c r="H9" i="1" a="1"/>
  <c r="H9" i="1"/>
  <c r="I9" i="1" a="1"/>
  <c r="I9" i="1"/>
  <c r="J9" i="1" a="1"/>
  <c r="J9" i="1"/>
  <c r="K9" i="1" a="1"/>
  <c r="K9" i="1"/>
  <c r="L9" i="1" a="1"/>
  <c r="L9" i="1"/>
  <c r="M9" i="1" a="1"/>
  <c r="M9" i="1"/>
  <c r="N9" i="1" a="1"/>
  <c r="N9" i="1"/>
  <c r="O9" i="1" a="1"/>
  <c r="O9" i="1"/>
  <c r="R9" i="1" a="1"/>
  <c r="R9" i="1"/>
  <c r="S9" i="1" a="1"/>
  <c r="S9" i="1"/>
  <c r="U9" i="1" a="1"/>
  <c r="U9" i="1"/>
  <c r="V9" i="1" a="1"/>
  <c r="V9" i="1"/>
  <c r="C10" i="1"/>
  <c r="D10" i="1"/>
  <c r="E10" i="1"/>
  <c r="F10" i="1"/>
  <c r="G10" i="1"/>
  <c r="H10" i="1" a="1"/>
  <c r="H10" i="1"/>
  <c r="I10" i="1" a="1"/>
  <c r="I10" i="1"/>
  <c r="J10" i="1" a="1"/>
  <c r="J10" i="1"/>
  <c r="K10" i="1" a="1"/>
  <c r="K10" i="1"/>
  <c r="L10" i="1" a="1"/>
  <c r="L10" i="1"/>
  <c r="M10" i="1" a="1"/>
  <c r="M10" i="1"/>
  <c r="N10" i="1" a="1"/>
  <c r="N10" i="1"/>
  <c r="O10" i="1" a="1"/>
  <c r="O10" i="1"/>
  <c r="R10" i="1" a="1"/>
  <c r="R10" i="1"/>
  <c r="S10" i="1" a="1"/>
  <c r="S10" i="1"/>
  <c r="U10" i="1" a="1"/>
  <c r="U10" i="1"/>
  <c r="V10" i="1" a="1"/>
  <c r="V10" i="1"/>
  <c r="C11" i="1"/>
  <c r="D11" i="1"/>
  <c r="E11" i="1"/>
  <c r="F11" i="1"/>
  <c r="G11" i="1"/>
  <c r="H11" i="1" a="1"/>
  <c r="H11" i="1"/>
  <c r="I11" i="1" a="1"/>
  <c r="I11" i="1"/>
  <c r="J11" i="1" a="1"/>
  <c r="J11" i="1"/>
  <c r="K11" i="1" a="1"/>
  <c r="K11" i="1"/>
  <c r="R11" i="1" a="1"/>
  <c r="R11" i="1"/>
  <c r="S11" i="1" a="1"/>
  <c r="S11" i="1"/>
  <c r="C13" i="1"/>
  <c r="D13" i="1"/>
  <c r="E13" i="1"/>
  <c r="F13" i="1"/>
  <c r="G13" i="1"/>
  <c r="H13" i="1" a="1"/>
  <c r="H13" i="1"/>
  <c r="I13" i="1" a="1"/>
  <c r="I13" i="1"/>
  <c r="J13" i="1" a="1"/>
  <c r="J13" i="1"/>
  <c r="K13" i="1" a="1"/>
  <c r="K13" i="1"/>
  <c r="L13" i="1" a="1"/>
  <c r="L13" i="1"/>
  <c r="M13" i="1" a="1"/>
  <c r="M13" i="1"/>
  <c r="N13" i="1" a="1"/>
  <c r="N13" i="1"/>
  <c r="O13" i="1" a="1"/>
  <c r="O13" i="1"/>
  <c r="R13" i="1" a="1"/>
  <c r="R13" i="1"/>
  <c r="S13" i="1" a="1"/>
  <c r="S13" i="1"/>
  <c r="U13" i="1" a="1"/>
  <c r="U13" i="1"/>
  <c r="V13" i="1" a="1"/>
  <c r="V13" i="1"/>
  <c r="C14" i="1"/>
  <c r="D14" i="1"/>
  <c r="E14" i="1"/>
  <c r="F14" i="1"/>
  <c r="G14" i="1"/>
  <c r="H14" i="1" a="1"/>
  <c r="H14" i="1"/>
  <c r="I14" i="1" a="1"/>
  <c r="I14" i="1"/>
  <c r="J14" i="1" a="1"/>
  <c r="J14" i="1"/>
  <c r="K14" i="1" a="1"/>
  <c r="K14" i="1"/>
  <c r="L14" i="1" a="1"/>
  <c r="L14" i="1"/>
  <c r="M14" i="1" a="1"/>
  <c r="M14" i="1"/>
  <c r="N14" i="1" a="1"/>
  <c r="N14" i="1"/>
  <c r="O14" i="1" a="1"/>
  <c r="O14" i="1"/>
  <c r="R14" i="1" a="1"/>
  <c r="R14" i="1"/>
  <c r="S14" i="1" a="1"/>
  <c r="S14" i="1"/>
  <c r="U14" i="1" a="1"/>
  <c r="U14" i="1"/>
  <c r="V14" i="1" a="1"/>
  <c r="V14" i="1"/>
  <c r="C15" i="1"/>
  <c r="D15" i="1"/>
  <c r="E15" i="1"/>
  <c r="F15" i="1"/>
  <c r="G15" i="1"/>
  <c r="H15" i="1" a="1"/>
  <c r="H15" i="1"/>
  <c r="I15" i="1" a="1"/>
  <c r="I15" i="1"/>
  <c r="J15" i="1" a="1"/>
  <c r="J15" i="1"/>
  <c r="K15" i="1" a="1"/>
  <c r="K15" i="1"/>
  <c r="L15" i="1" a="1"/>
  <c r="L15" i="1"/>
  <c r="M15" i="1" a="1"/>
  <c r="M15" i="1"/>
  <c r="N15" i="1" a="1"/>
  <c r="N15" i="1"/>
  <c r="O15" i="1" a="1"/>
  <c r="O15" i="1"/>
  <c r="R15" i="1" a="1"/>
  <c r="R15" i="1"/>
  <c r="S15" i="1" a="1"/>
  <c r="S15" i="1"/>
  <c r="U15" i="1" a="1"/>
  <c r="U15" i="1"/>
  <c r="V15" i="1" a="1"/>
  <c r="V15" i="1"/>
  <c r="C16" i="1"/>
  <c r="D16" i="1"/>
  <c r="E16" i="1"/>
  <c r="F16" i="1"/>
  <c r="G16" i="1"/>
  <c r="H16" i="1" a="1"/>
  <c r="H16" i="1"/>
  <c r="I16" i="1" a="1"/>
  <c r="I16" i="1"/>
  <c r="J16" i="1" a="1"/>
  <c r="J16" i="1"/>
  <c r="K16" i="1" a="1"/>
  <c r="K16" i="1"/>
  <c r="L16" i="1" a="1"/>
  <c r="L16" i="1"/>
  <c r="M16" i="1" a="1"/>
  <c r="M16" i="1"/>
  <c r="N16" i="1" a="1"/>
  <c r="N16" i="1"/>
  <c r="O16" i="1" a="1"/>
  <c r="O16" i="1"/>
  <c r="R16" i="1" a="1"/>
  <c r="R16" i="1"/>
  <c r="S16" i="1" a="1"/>
  <c r="S16" i="1"/>
  <c r="U16" i="1" a="1"/>
  <c r="U16" i="1"/>
  <c r="V16" i="1" a="1"/>
  <c r="V16" i="1"/>
  <c r="C17" i="1"/>
  <c r="D17" i="1"/>
  <c r="E17" i="1"/>
  <c r="F17" i="1"/>
  <c r="G17" i="1"/>
  <c r="H17" i="1" a="1"/>
  <c r="H17" i="1"/>
  <c r="I17" i="1" a="1"/>
  <c r="I17" i="1"/>
  <c r="J17" i="1" a="1"/>
  <c r="J17" i="1"/>
  <c r="K17" i="1" a="1"/>
  <c r="K17" i="1"/>
  <c r="L17" i="1" a="1"/>
  <c r="L17" i="1"/>
  <c r="M17" i="1" a="1"/>
  <c r="M17" i="1"/>
  <c r="N17" i="1" a="1"/>
  <c r="N17" i="1"/>
  <c r="O17" i="1" a="1"/>
  <c r="O17" i="1"/>
  <c r="R17" i="1" a="1"/>
  <c r="R17" i="1"/>
  <c r="S17" i="1" a="1"/>
  <c r="S17" i="1"/>
  <c r="U17" i="1" a="1"/>
  <c r="U17" i="1"/>
  <c r="V17" i="1" a="1"/>
  <c r="V17" i="1"/>
  <c r="C18" i="1"/>
  <c r="D18" i="1"/>
  <c r="E18" i="1"/>
  <c r="F18" i="1"/>
  <c r="G18" i="1"/>
  <c r="H18" i="1" a="1"/>
  <c r="H18" i="1"/>
  <c r="I18" i="1" a="1"/>
  <c r="I18" i="1"/>
  <c r="J18" i="1" a="1"/>
  <c r="J18" i="1"/>
  <c r="K18" i="1" a="1"/>
  <c r="K18" i="1"/>
  <c r="L18" i="1" a="1"/>
  <c r="L18" i="1"/>
  <c r="M18" i="1" a="1"/>
  <c r="M18" i="1"/>
  <c r="N18" i="1" a="1"/>
  <c r="N18" i="1"/>
  <c r="O18" i="1" a="1"/>
  <c r="O18" i="1"/>
  <c r="R18" i="1" a="1"/>
  <c r="R18" i="1"/>
  <c r="S18" i="1" a="1"/>
  <c r="S18" i="1"/>
  <c r="U18" i="1" a="1"/>
  <c r="U18" i="1"/>
  <c r="V18" i="1" a="1"/>
  <c r="V18" i="1"/>
  <c r="C19" i="1"/>
  <c r="D19" i="1"/>
  <c r="E19" i="1"/>
  <c r="F19" i="1"/>
  <c r="G19" i="1"/>
  <c r="H19" i="1" a="1"/>
  <c r="H19" i="1"/>
  <c r="I19" i="1" a="1"/>
  <c r="I19" i="1"/>
  <c r="J19" i="1" a="1"/>
  <c r="J19" i="1"/>
  <c r="K19" i="1" a="1"/>
  <c r="K19" i="1"/>
  <c r="L19" i="1" a="1"/>
  <c r="L19" i="1"/>
  <c r="M19" i="1" a="1"/>
  <c r="M19" i="1"/>
  <c r="N19" i="1" a="1"/>
  <c r="N19" i="1"/>
  <c r="O19" i="1" a="1"/>
  <c r="O19" i="1"/>
  <c r="R19" i="1" a="1"/>
  <c r="R19" i="1"/>
  <c r="S19" i="1" a="1"/>
  <c r="S19" i="1"/>
  <c r="U19" i="1" a="1"/>
  <c r="U19" i="1"/>
  <c r="V19" i="1" a="1"/>
  <c r="V19" i="1"/>
  <c r="C20" i="1"/>
  <c r="D20" i="1"/>
  <c r="E20" i="1"/>
  <c r="F20" i="1"/>
  <c r="G20" i="1"/>
  <c r="H20" i="1" a="1"/>
  <c r="H20" i="1"/>
  <c r="I20" i="1" a="1"/>
  <c r="I20" i="1"/>
  <c r="J20" i="1" a="1"/>
  <c r="J20" i="1"/>
  <c r="K20" i="1" a="1"/>
  <c r="K20" i="1"/>
  <c r="L20" i="1" a="1"/>
  <c r="L20" i="1"/>
  <c r="M20" i="1" a="1"/>
  <c r="M20" i="1"/>
  <c r="N20" i="1" a="1"/>
  <c r="N20" i="1"/>
  <c r="O20" i="1" a="1"/>
  <c r="O20" i="1"/>
  <c r="R20" i="1" a="1"/>
  <c r="R20" i="1"/>
  <c r="S20" i="1" a="1"/>
  <c r="S20" i="1"/>
  <c r="U20" i="1" a="1"/>
  <c r="U20" i="1"/>
  <c r="V20" i="1" a="1"/>
  <c r="V20" i="1"/>
  <c r="C21" i="1"/>
  <c r="D21" i="1"/>
  <c r="E21" i="1"/>
  <c r="F21" i="1"/>
  <c r="G21" i="1"/>
  <c r="H21" i="1" a="1"/>
  <c r="H21" i="1"/>
  <c r="I21" i="1" a="1"/>
  <c r="I21" i="1"/>
  <c r="J21" i="1" a="1"/>
  <c r="J21" i="1"/>
  <c r="K21" i="1" a="1"/>
  <c r="K21" i="1"/>
  <c r="L21" i="1" a="1"/>
  <c r="L21" i="1"/>
  <c r="M21" i="1" a="1"/>
  <c r="M21" i="1"/>
  <c r="N21" i="1" a="1"/>
  <c r="N21" i="1"/>
  <c r="O21" i="1" a="1"/>
  <c r="O21" i="1"/>
  <c r="U21" i="1" a="1"/>
  <c r="U21" i="1"/>
  <c r="V21" i="1" a="1"/>
  <c r="V21" i="1"/>
  <c r="C22" i="1"/>
  <c r="D22" i="1"/>
  <c r="E22" i="1"/>
  <c r="F22" i="1"/>
  <c r="G22" i="1"/>
  <c r="H22" i="1" a="1"/>
  <c r="H22" i="1"/>
  <c r="I22" i="1" a="1"/>
  <c r="I22" i="1"/>
  <c r="J22" i="1" a="1"/>
  <c r="J22" i="1"/>
  <c r="K22" i="1" a="1"/>
  <c r="K22" i="1"/>
  <c r="L22" i="1" a="1"/>
  <c r="L22" i="1"/>
  <c r="M22" i="1" a="1"/>
  <c r="M22" i="1"/>
  <c r="N22" i="1" a="1"/>
  <c r="N22" i="1"/>
  <c r="O22" i="1" a="1"/>
  <c r="O22" i="1"/>
  <c r="R22" i="1" a="1"/>
  <c r="R22" i="1"/>
  <c r="S22" i="1" a="1"/>
  <c r="S22" i="1"/>
  <c r="U22" i="1" a="1"/>
  <c r="U22" i="1"/>
  <c r="V22" i="1" a="1"/>
  <c r="V22" i="1"/>
  <c r="C23" i="1"/>
  <c r="D23" i="1"/>
  <c r="E23" i="1"/>
  <c r="F23" i="1"/>
  <c r="G23" i="1"/>
  <c r="H23" i="1" a="1"/>
  <c r="H23" i="1"/>
  <c r="I23" i="1" a="1"/>
  <c r="I23" i="1"/>
  <c r="J23" i="1" a="1"/>
  <c r="J23" i="1"/>
  <c r="K23" i="1" a="1"/>
  <c r="K23" i="1"/>
  <c r="L23" i="1" a="1"/>
  <c r="L23" i="1"/>
  <c r="M23" i="1" a="1"/>
  <c r="M23" i="1"/>
  <c r="N23" i="1" a="1"/>
  <c r="N23" i="1"/>
  <c r="O23" i="1" a="1"/>
  <c r="O23" i="1"/>
  <c r="R23" i="1" a="1"/>
  <c r="R23" i="1"/>
  <c r="S23" i="1" a="1"/>
  <c r="S23" i="1"/>
  <c r="U23" i="1" a="1"/>
  <c r="U23" i="1"/>
  <c r="V23" i="1" a="1"/>
  <c r="V23" i="1"/>
  <c r="C24" i="1"/>
  <c r="D24" i="1"/>
  <c r="E24" i="1"/>
  <c r="F24" i="1"/>
  <c r="G24" i="1"/>
  <c r="H24" i="1" a="1"/>
  <c r="H24" i="1"/>
  <c r="I24" i="1" a="1"/>
  <c r="I24" i="1"/>
  <c r="J24" i="1" a="1"/>
  <c r="J24" i="1"/>
  <c r="K24" i="1" a="1"/>
  <c r="K24" i="1"/>
  <c r="L24" i="1" a="1"/>
  <c r="L24" i="1"/>
  <c r="M24" i="1" a="1"/>
  <c r="M24" i="1"/>
  <c r="N24" i="1" a="1"/>
  <c r="N24" i="1"/>
  <c r="O24" i="1" a="1"/>
  <c r="O24" i="1"/>
  <c r="R24" i="1" a="1"/>
  <c r="R24" i="1"/>
  <c r="S24" i="1" a="1"/>
  <c r="S24" i="1"/>
  <c r="U24" i="1" a="1"/>
  <c r="U24" i="1"/>
  <c r="V24" i="1" a="1"/>
  <c r="V24" i="1"/>
  <c r="C25" i="1"/>
  <c r="D25" i="1"/>
  <c r="E25" i="1"/>
  <c r="F25" i="1"/>
  <c r="G25" i="1"/>
  <c r="H25" i="1" a="1"/>
  <c r="H25" i="1"/>
  <c r="I25" i="1" a="1"/>
  <c r="I25" i="1"/>
  <c r="J25" i="1" a="1"/>
  <c r="J25" i="1"/>
  <c r="K25" i="1" a="1"/>
  <c r="K25" i="1"/>
  <c r="L25" i="1" a="1"/>
  <c r="L25" i="1"/>
  <c r="M25" i="1" a="1"/>
  <c r="M25" i="1"/>
  <c r="N25" i="1" a="1"/>
  <c r="N25" i="1"/>
  <c r="O25" i="1" a="1"/>
  <c r="O25" i="1"/>
  <c r="R25" i="1" a="1"/>
  <c r="R25" i="1"/>
  <c r="S25" i="1" a="1"/>
  <c r="S25" i="1"/>
  <c r="U25" i="1" a="1"/>
  <c r="U25" i="1"/>
  <c r="V25" i="1" a="1"/>
  <c r="V25" i="1"/>
  <c r="C27" i="1"/>
  <c r="D27" i="1"/>
  <c r="E27" i="1"/>
  <c r="F27" i="1"/>
  <c r="G27" i="1"/>
  <c r="H27" i="1" a="1"/>
  <c r="H27" i="1"/>
  <c r="I27" i="1" a="1"/>
  <c r="I27" i="1"/>
  <c r="J27" i="1" a="1"/>
  <c r="J27" i="1"/>
  <c r="K27" i="1" a="1"/>
  <c r="K27" i="1"/>
  <c r="L27" i="1" a="1"/>
  <c r="L27" i="1"/>
  <c r="M27" i="1" a="1"/>
  <c r="M27" i="1"/>
  <c r="N27" i="1" a="1"/>
  <c r="N27" i="1"/>
  <c r="O27" i="1" a="1"/>
  <c r="O27" i="1"/>
  <c r="R27" i="1" a="1"/>
  <c r="R27" i="1"/>
  <c r="S27" i="1" a="1"/>
  <c r="S27" i="1"/>
  <c r="U27" i="1" a="1"/>
  <c r="U27" i="1"/>
  <c r="V27" i="1" a="1"/>
  <c r="V27" i="1"/>
  <c r="C28" i="1"/>
  <c r="D28" i="1"/>
  <c r="E28" i="1"/>
  <c r="F28" i="1"/>
  <c r="G28" i="1"/>
  <c r="H28" i="1" a="1"/>
  <c r="H28" i="1"/>
  <c r="I28" i="1" a="1"/>
  <c r="I28" i="1"/>
  <c r="J28" i="1" a="1"/>
  <c r="J28" i="1"/>
  <c r="K28" i="1" a="1"/>
  <c r="K28" i="1"/>
  <c r="L28" i="1" a="1"/>
  <c r="L28" i="1"/>
  <c r="M28" i="1" a="1"/>
  <c r="M28" i="1"/>
  <c r="N28" i="1" a="1"/>
  <c r="N28" i="1"/>
  <c r="O28" i="1" a="1"/>
  <c r="O28" i="1"/>
  <c r="R28" i="1" a="1"/>
  <c r="R28" i="1"/>
  <c r="S28" i="1" a="1"/>
  <c r="S28" i="1"/>
  <c r="U28" i="1" a="1"/>
  <c r="U28" i="1"/>
  <c r="V28" i="1" a="1"/>
  <c r="V28" i="1"/>
  <c r="C29" i="1"/>
  <c r="D29" i="1"/>
  <c r="E29" i="1"/>
  <c r="F29" i="1"/>
  <c r="G29" i="1"/>
  <c r="H29" i="1" a="1"/>
  <c r="H29" i="1"/>
  <c r="I29" i="1" a="1"/>
  <c r="I29" i="1"/>
  <c r="J29" i="1" a="1"/>
  <c r="J29" i="1"/>
  <c r="K29" i="1" a="1"/>
  <c r="K29" i="1"/>
  <c r="L29" i="1" a="1"/>
  <c r="L29" i="1"/>
  <c r="M29" i="1" a="1"/>
  <c r="M29" i="1"/>
  <c r="N29" i="1" a="1"/>
  <c r="N29" i="1"/>
  <c r="O29" i="1" a="1"/>
  <c r="O29" i="1"/>
  <c r="U29" i="1" a="1"/>
  <c r="U29" i="1"/>
  <c r="V29" i="1" a="1"/>
  <c r="V29" i="1"/>
  <c r="C30" i="1"/>
  <c r="D30" i="1"/>
  <c r="E30" i="1"/>
  <c r="F30" i="1"/>
  <c r="G30" i="1"/>
  <c r="H30" i="1" a="1"/>
  <c r="H30" i="1"/>
  <c r="I30" i="1" a="1"/>
  <c r="I30" i="1"/>
  <c r="J30" i="1" a="1"/>
  <c r="J30" i="1"/>
  <c r="K30" i="1" a="1"/>
  <c r="K30" i="1"/>
  <c r="L30" i="1" a="1"/>
  <c r="L30" i="1"/>
  <c r="M30" i="1" a="1"/>
  <c r="M30" i="1"/>
  <c r="N30" i="1" a="1"/>
  <c r="N30" i="1"/>
  <c r="O30" i="1" a="1"/>
  <c r="O30" i="1"/>
  <c r="R30" i="1" a="1"/>
  <c r="R30" i="1"/>
  <c r="S30" i="1" a="1"/>
  <c r="S30" i="1"/>
  <c r="U30" i="1" a="1"/>
  <c r="U30" i="1"/>
  <c r="V30" i="1" a="1"/>
  <c r="V30" i="1"/>
  <c r="C31" i="1"/>
  <c r="D31" i="1"/>
  <c r="E31" i="1"/>
  <c r="F31" i="1"/>
  <c r="G31" i="1"/>
  <c r="H31" i="1" a="1"/>
  <c r="H31" i="1"/>
  <c r="I31" i="1" a="1"/>
  <c r="I31" i="1"/>
  <c r="J31" i="1" a="1"/>
  <c r="J31" i="1"/>
  <c r="K31" i="1" a="1"/>
  <c r="K31" i="1"/>
  <c r="L31" i="1" a="1"/>
  <c r="L31" i="1"/>
  <c r="M31" i="1" a="1"/>
  <c r="M31" i="1"/>
  <c r="N31" i="1" a="1"/>
  <c r="N31" i="1"/>
  <c r="O31" i="1" a="1"/>
  <c r="O31" i="1"/>
  <c r="R31" i="1" a="1"/>
  <c r="R31" i="1"/>
  <c r="S31" i="1" a="1"/>
  <c r="S31" i="1"/>
  <c r="U31" i="1" a="1"/>
  <c r="U31" i="1"/>
  <c r="V31" i="1" a="1"/>
  <c r="V31" i="1"/>
  <c r="C32" i="1"/>
  <c r="D32" i="1"/>
  <c r="E32" i="1"/>
  <c r="F32" i="1"/>
  <c r="G32" i="1"/>
  <c r="H32" i="1" a="1"/>
  <c r="H32" i="1"/>
  <c r="I32" i="1" a="1"/>
  <c r="I32" i="1"/>
  <c r="J32" i="1" a="1"/>
  <c r="J32" i="1"/>
  <c r="K32" i="1" a="1"/>
  <c r="K32" i="1"/>
  <c r="L32" i="1" a="1"/>
  <c r="L32" i="1"/>
  <c r="M32" i="1" a="1"/>
  <c r="M32" i="1"/>
  <c r="N32" i="1" a="1"/>
  <c r="N32" i="1"/>
  <c r="O32" i="1" a="1"/>
  <c r="O32" i="1"/>
  <c r="R32" i="1" a="1"/>
  <c r="R32" i="1"/>
  <c r="S32" i="1" a="1"/>
  <c r="S32" i="1"/>
  <c r="U32" i="1" a="1"/>
  <c r="U32" i="1"/>
  <c r="V32" i="1" a="1"/>
  <c r="V32" i="1"/>
  <c r="C33" i="1"/>
  <c r="D33" i="1"/>
  <c r="E33" i="1"/>
  <c r="F33" i="1"/>
  <c r="G33" i="1"/>
  <c r="H33" i="1" a="1"/>
  <c r="H33" i="1"/>
  <c r="I33" i="1" a="1"/>
  <c r="I33" i="1"/>
  <c r="J33" i="1" a="1"/>
  <c r="J33" i="1"/>
  <c r="K33" i="1" a="1"/>
  <c r="K33" i="1"/>
  <c r="L33" i="1" a="1"/>
  <c r="L33" i="1"/>
  <c r="M33" i="1" a="1"/>
  <c r="M33" i="1"/>
  <c r="N33" i="1" a="1"/>
  <c r="N33" i="1"/>
  <c r="O33" i="1" a="1"/>
  <c r="O33" i="1"/>
  <c r="R33" i="1" a="1"/>
  <c r="R33" i="1"/>
  <c r="S33" i="1" a="1"/>
  <c r="S33" i="1"/>
  <c r="U33" i="1" a="1"/>
  <c r="U33" i="1"/>
  <c r="V33" i="1" a="1"/>
  <c r="V33" i="1"/>
  <c r="C34" i="1"/>
  <c r="D34" i="1"/>
  <c r="E34" i="1"/>
  <c r="F34" i="1"/>
  <c r="G34" i="1"/>
  <c r="H34" i="1" a="1"/>
  <c r="H34" i="1"/>
  <c r="I34" i="1" a="1"/>
  <c r="I34" i="1"/>
  <c r="J34" i="1" a="1"/>
  <c r="J34" i="1"/>
  <c r="K34" i="1" a="1"/>
  <c r="K34" i="1"/>
  <c r="L34" i="1" a="1"/>
  <c r="L34" i="1"/>
  <c r="M34" i="1" a="1"/>
  <c r="M34" i="1"/>
  <c r="N34" i="1" a="1"/>
  <c r="N34" i="1"/>
  <c r="O34" i="1" a="1"/>
  <c r="O34" i="1"/>
  <c r="U34" i="1" a="1"/>
  <c r="U34" i="1"/>
  <c r="V34" i="1" a="1"/>
  <c r="V34" i="1"/>
  <c r="C36" i="1"/>
  <c r="D36" i="1"/>
  <c r="E36" i="1"/>
  <c r="F36" i="1"/>
  <c r="G36" i="1"/>
  <c r="H36" i="1" a="1"/>
  <c r="H36" i="1"/>
  <c r="I36" i="1" a="1"/>
  <c r="I36" i="1"/>
  <c r="J36" i="1" a="1"/>
  <c r="J36" i="1"/>
  <c r="K36" i="1" a="1"/>
  <c r="K36" i="1"/>
  <c r="L36" i="1" a="1"/>
  <c r="L36" i="1"/>
  <c r="M36" i="1" a="1"/>
  <c r="M36" i="1"/>
  <c r="N36" i="1" a="1"/>
  <c r="N36" i="1"/>
  <c r="O36" i="1" a="1"/>
  <c r="O36" i="1"/>
  <c r="R36" i="1" a="1"/>
  <c r="R36" i="1"/>
  <c r="S36" i="1" a="1"/>
  <c r="S36" i="1"/>
  <c r="U36" i="1" a="1"/>
  <c r="U36" i="1"/>
  <c r="V36" i="1" a="1"/>
  <c r="V36" i="1"/>
  <c r="C37" i="1"/>
  <c r="D37" i="1"/>
  <c r="E37" i="1"/>
  <c r="F37" i="1"/>
  <c r="G37" i="1"/>
  <c r="H37" i="1" a="1"/>
  <c r="H37" i="1"/>
  <c r="I37" i="1" a="1"/>
  <c r="I37" i="1"/>
  <c r="J37" i="1" a="1"/>
  <c r="J37" i="1"/>
  <c r="K37" i="1" a="1"/>
  <c r="K37" i="1"/>
  <c r="L37" i="1" a="1"/>
  <c r="L37" i="1"/>
  <c r="M37" i="1" a="1"/>
  <c r="M37" i="1"/>
  <c r="N37" i="1" a="1"/>
  <c r="N37" i="1"/>
  <c r="O37" i="1" a="1"/>
  <c r="O37" i="1"/>
  <c r="R37" i="1" a="1"/>
  <c r="R37" i="1"/>
  <c r="S37" i="1" a="1"/>
  <c r="S37" i="1"/>
  <c r="U37" i="1" a="1"/>
  <c r="U37" i="1"/>
  <c r="V37" i="1" a="1"/>
  <c r="V37" i="1"/>
  <c r="C38" i="1"/>
  <c r="D38" i="1"/>
  <c r="E38" i="1"/>
  <c r="F38" i="1"/>
  <c r="G38" i="1"/>
  <c r="H38" i="1" a="1"/>
  <c r="H38" i="1"/>
  <c r="I38" i="1" a="1"/>
  <c r="I38" i="1"/>
  <c r="J38" i="1" a="1"/>
  <c r="J38" i="1"/>
  <c r="K38" i="1" a="1"/>
  <c r="K38" i="1"/>
  <c r="L38" i="1" a="1"/>
  <c r="L38" i="1"/>
  <c r="M38" i="1" a="1"/>
  <c r="M38" i="1"/>
  <c r="N38" i="1" a="1"/>
  <c r="N38" i="1"/>
  <c r="O38" i="1" a="1"/>
  <c r="O38" i="1"/>
  <c r="R38" i="1" a="1"/>
  <c r="R38" i="1"/>
  <c r="S38" i="1" a="1"/>
  <c r="S38" i="1"/>
  <c r="U38" i="1" a="1"/>
  <c r="U38" i="1"/>
  <c r="V38" i="1" a="1"/>
  <c r="V38" i="1"/>
  <c r="C39" i="1"/>
  <c r="D39" i="1"/>
  <c r="E39" i="1"/>
  <c r="F39" i="1"/>
  <c r="G39" i="1"/>
  <c r="H39" i="1" a="1"/>
  <c r="H39" i="1"/>
  <c r="I39" i="1" a="1"/>
  <c r="I39" i="1"/>
  <c r="J39" i="1" a="1"/>
  <c r="J39" i="1"/>
  <c r="K39" i="1" a="1"/>
  <c r="K39" i="1"/>
  <c r="L39" i="1" a="1"/>
  <c r="L39" i="1"/>
  <c r="M39" i="1" a="1"/>
  <c r="M39" i="1"/>
  <c r="N39" i="1" a="1"/>
  <c r="N39" i="1"/>
  <c r="O39" i="1" a="1"/>
  <c r="O39" i="1"/>
  <c r="R39" i="1" a="1"/>
  <c r="R39" i="1"/>
  <c r="S39" i="1" a="1"/>
  <c r="S39" i="1"/>
  <c r="U39" i="1" a="1"/>
  <c r="U39" i="1"/>
  <c r="V39" i="1" a="1"/>
  <c r="V39" i="1"/>
  <c r="C40" i="1"/>
  <c r="D40" i="1"/>
  <c r="E40" i="1"/>
  <c r="F40" i="1"/>
  <c r="G40" i="1"/>
  <c r="H40" i="1" a="1"/>
  <c r="H40" i="1"/>
  <c r="I40" i="1" a="1"/>
  <c r="I40" i="1"/>
  <c r="J40" i="1" a="1"/>
  <c r="J40" i="1"/>
  <c r="K40" i="1" a="1"/>
  <c r="K40" i="1"/>
  <c r="L40" i="1" a="1"/>
  <c r="L40" i="1"/>
  <c r="M40" i="1" a="1"/>
  <c r="M40" i="1"/>
  <c r="N40" i="1" a="1"/>
  <c r="N40" i="1"/>
  <c r="O40" i="1" a="1"/>
  <c r="O40" i="1"/>
  <c r="R40" i="1" a="1"/>
  <c r="R40" i="1"/>
  <c r="S40" i="1" a="1"/>
  <c r="S40" i="1"/>
  <c r="U40" i="1" a="1"/>
  <c r="U40" i="1"/>
  <c r="V40" i="1" a="1"/>
  <c r="V40" i="1"/>
  <c r="C41" i="1"/>
  <c r="D41" i="1"/>
  <c r="E41" i="1"/>
  <c r="F41" i="1"/>
  <c r="G41" i="1"/>
  <c r="H41" i="1" a="1"/>
  <c r="H41" i="1"/>
  <c r="I41" i="1" a="1"/>
  <c r="I41" i="1"/>
  <c r="J41" i="1" a="1"/>
  <c r="J41" i="1"/>
  <c r="K41" i="1" a="1"/>
  <c r="K41" i="1"/>
  <c r="L41" i="1" a="1"/>
  <c r="L41" i="1"/>
  <c r="M41" i="1" a="1"/>
  <c r="M41" i="1"/>
  <c r="N41" i="1" a="1"/>
  <c r="N41" i="1"/>
  <c r="O41" i="1" a="1"/>
  <c r="O41" i="1"/>
  <c r="R41" i="1" a="1"/>
  <c r="R41" i="1"/>
  <c r="S41" i="1" a="1"/>
  <c r="S41" i="1"/>
  <c r="U41" i="1" a="1"/>
  <c r="U41" i="1"/>
  <c r="V41" i="1" a="1"/>
  <c r="V41" i="1"/>
  <c r="C42" i="1"/>
  <c r="D42" i="1"/>
  <c r="E42" i="1"/>
  <c r="F42" i="1"/>
  <c r="G42" i="1"/>
  <c r="H42" i="1" a="1"/>
  <c r="H42" i="1"/>
  <c r="I42" i="1" a="1"/>
  <c r="I42" i="1"/>
  <c r="J42" i="1" a="1"/>
  <c r="J42" i="1"/>
  <c r="K42" i="1" a="1"/>
  <c r="K42" i="1"/>
  <c r="L42" i="1" a="1"/>
  <c r="L42" i="1"/>
  <c r="M42" i="1" a="1"/>
  <c r="M42" i="1"/>
  <c r="N42" i="1" a="1"/>
  <c r="N42" i="1"/>
  <c r="O42" i="1" a="1"/>
  <c r="O42" i="1"/>
  <c r="R42" i="1" a="1"/>
  <c r="R42" i="1"/>
  <c r="S42" i="1" a="1"/>
  <c r="S42" i="1"/>
  <c r="U42" i="1" a="1"/>
  <c r="U42" i="1"/>
  <c r="V42" i="1" a="1"/>
  <c r="V42" i="1"/>
  <c r="C43" i="1"/>
  <c r="D43" i="1"/>
  <c r="E43" i="1"/>
  <c r="F43" i="1"/>
  <c r="G43" i="1"/>
  <c r="H43" i="1" a="1"/>
  <c r="H43" i="1"/>
  <c r="I43" i="1" a="1"/>
  <c r="I43" i="1"/>
  <c r="J43" i="1" a="1"/>
  <c r="J43" i="1"/>
  <c r="K43" i="1" a="1"/>
  <c r="K43" i="1"/>
  <c r="L43" i="1" a="1"/>
  <c r="L43" i="1"/>
  <c r="M43" i="1" a="1"/>
  <c r="M43" i="1"/>
  <c r="N43" i="1" a="1"/>
  <c r="N43" i="1"/>
  <c r="O43" i="1" a="1"/>
  <c r="O43" i="1"/>
  <c r="R43" i="1" a="1"/>
  <c r="R43" i="1"/>
  <c r="S43" i="1" a="1"/>
  <c r="S43" i="1"/>
  <c r="U43" i="1" a="1"/>
  <c r="U43" i="1"/>
  <c r="V43" i="1" a="1"/>
  <c r="V43" i="1"/>
  <c r="C44" i="1"/>
  <c r="D44" i="1"/>
  <c r="E44" i="1"/>
  <c r="F44" i="1"/>
  <c r="G44" i="1"/>
  <c r="H44" i="1" a="1"/>
  <c r="H44" i="1"/>
  <c r="I44" i="1" a="1"/>
  <c r="I44" i="1"/>
  <c r="J44" i="1" a="1"/>
  <c r="J44" i="1"/>
  <c r="K44" i="1" a="1"/>
  <c r="K44" i="1"/>
  <c r="L44" i="1" a="1"/>
  <c r="L44" i="1"/>
  <c r="M44" i="1" a="1"/>
  <c r="M44" i="1"/>
  <c r="N44" i="1" a="1"/>
  <c r="N44" i="1"/>
  <c r="O44" i="1" a="1"/>
  <c r="O44" i="1"/>
  <c r="R44" i="1" a="1"/>
  <c r="R44" i="1"/>
  <c r="S44" i="1" a="1"/>
  <c r="S44" i="1"/>
  <c r="U44" i="1" a="1"/>
  <c r="U44" i="1"/>
  <c r="V44" i="1" a="1"/>
  <c r="V44" i="1"/>
  <c r="C45" i="1"/>
  <c r="D45" i="1"/>
  <c r="E45" i="1"/>
  <c r="F45" i="1"/>
  <c r="G45" i="1"/>
  <c r="H45" i="1" a="1"/>
  <c r="H45" i="1"/>
  <c r="I45" i="1" a="1"/>
  <c r="I45" i="1"/>
  <c r="J45" i="1" a="1"/>
  <c r="J45" i="1"/>
  <c r="K45" i="1" a="1"/>
  <c r="K45" i="1"/>
  <c r="L45" i="1" a="1"/>
  <c r="L45" i="1"/>
  <c r="M45" i="1" a="1"/>
  <c r="M45" i="1"/>
  <c r="N45" i="1" a="1"/>
  <c r="N45" i="1"/>
  <c r="O45" i="1" a="1"/>
  <c r="O45" i="1"/>
  <c r="R45" i="1" a="1"/>
  <c r="R45" i="1"/>
  <c r="S45" i="1" a="1"/>
  <c r="S45" i="1"/>
  <c r="U45" i="1" a="1"/>
  <c r="U45" i="1"/>
  <c r="V45" i="1" a="1"/>
  <c r="V45" i="1"/>
  <c r="C46" i="1"/>
  <c r="D46" i="1"/>
  <c r="E46" i="1"/>
  <c r="F46" i="1"/>
  <c r="G46" i="1"/>
  <c r="H46" i="1" a="1"/>
  <c r="H46" i="1"/>
  <c r="I46" i="1" a="1"/>
  <c r="I46" i="1"/>
  <c r="J46" i="1" a="1"/>
  <c r="J46" i="1"/>
  <c r="K46" i="1" a="1"/>
  <c r="K46" i="1"/>
  <c r="L46" i="1" a="1"/>
  <c r="L46" i="1"/>
  <c r="M46" i="1" a="1"/>
  <c r="M46" i="1"/>
  <c r="N46" i="1" a="1"/>
  <c r="N46" i="1"/>
  <c r="O46" i="1" a="1"/>
  <c r="O46" i="1"/>
  <c r="R46" i="1" a="1"/>
  <c r="R46" i="1"/>
  <c r="S46" i="1" a="1"/>
  <c r="S46" i="1"/>
  <c r="U46" i="1" a="1"/>
  <c r="U46" i="1"/>
  <c r="V46" i="1" a="1"/>
  <c r="V46" i="1"/>
  <c r="C47" i="1"/>
  <c r="D47" i="1"/>
  <c r="E47" i="1"/>
  <c r="F47" i="1"/>
  <c r="G47" i="1"/>
  <c r="H47" i="1" a="1"/>
  <c r="H47" i="1"/>
  <c r="I47" i="1" a="1"/>
  <c r="I47" i="1"/>
  <c r="J47" i="1" a="1"/>
  <c r="J47" i="1"/>
  <c r="K47" i="1" a="1"/>
  <c r="K47" i="1"/>
  <c r="L47" i="1" a="1"/>
  <c r="L47" i="1"/>
  <c r="M47" i="1" a="1"/>
  <c r="M47" i="1"/>
  <c r="N47" i="1" a="1"/>
  <c r="N47" i="1"/>
  <c r="O47" i="1" a="1"/>
  <c r="O47" i="1"/>
  <c r="R47" i="1" a="1"/>
  <c r="R47" i="1"/>
  <c r="S47" i="1" a="1"/>
  <c r="S47" i="1"/>
  <c r="U47" i="1" a="1"/>
  <c r="U47" i="1"/>
  <c r="V47" i="1" a="1"/>
  <c r="V47" i="1"/>
  <c r="C49" i="1"/>
  <c r="D49" i="1"/>
  <c r="E49" i="1"/>
  <c r="F49" i="1"/>
  <c r="G49" i="1"/>
  <c r="R49" i="1" a="1"/>
  <c r="R49" i="1"/>
  <c r="S49" i="1" a="1"/>
  <c r="S49" i="1"/>
  <c r="H49" i="1" s="1"/>
  <c r="I49" i="1" a="1"/>
  <c r="I49" i="1"/>
  <c r="J49" i="1" a="1"/>
  <c r="J49" i="1"/>
  <c r="K49" i="1" a="1"/>
  <c r="K49" i="1"/>
  <c r="L49" i="1" a="1"/>
  <c r="L49" i="1"/>
  <c r="M49" i="1" a="1"/>
  <c r="M49" i="1"/>
  <c r="N49" i="1" a="1"/>
  <c r="N49" i="1"/>
  <c r="O49" i="1" a="1"/>
  <c r="O49" i="1"/>
  <c r="U49" i="1" a="1"/>
  <c r="U49" i="1"/>
  <c r="V49" i="1" a="1"/>
  <c r="V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<sst xmlns="http://schemas.openxmlformats.org/spreadsheetml/2006/main" count="473" uniqueCount="404">
  <si>
    <t>Sovereign Market Monitoring Model</t>
  </si>
  <si>
    <t>5-yr CDS (mid, bps)</t>
  </si>
  <si>
    <t>Stock Market (%)</t>
  </si>
  <si>
    <t>FX (USD/Loc) (%)</t>
  </si>
  <si>
    <t>Country</t>
  </si>
  <si>
    <t>Rating</t>
  </si>
  <si>
    <t>Now</t>
  </si>
  <si>
    <t>5 day Δ</t>
  </si>
  <si>
    <t>2 week Δ</t>
  </si>
  <si>
    <t>3 month Δ</t>
  </si>
  <si>
    <t>1 year Δ</t>
  </si>
  <si>
    <t>America</t>
  </si>
  <si>
    <t>Brazil</t>
  </si>
  <si>
    <t>Canada</t>
  </si>
  <si>
    <t>Mexico</t>
  </si>
  <si>
    <t>United States</t>
  </si>
  <si>
    <t>Euro Area</t>
  </si>
  <si>
    <t>Austria</t>
  </si>
  <si>
    <t>Belgium</t>
  </si>
  <si>
    <t>Finland</t>
  </si>
  <si>
    <t>France</t>
  </si>
  <si>
    <t>Germany</t>
  </si>
  <si>
    <t>Greece</t>
  </si>
  <si>
    <t>Ireland</t>
  </si>
  <si>
    <t>Italy</t>
  </si>
  <si>
    <t>Luxembourg</t>
  </si>
  <si>
    <t>Netherlands</t>
  </si>
  <si>
    <t>Portugal</t>
  </si>
  <si>
    <t>Slovenia</t>
  </si>
  <si>
    <t>Spain</t>
  </si>
  <si>
    <t>Other Europe</t>
  </si>
  <si>
    <t>United Kingdom</t>
  </si>
  <si>
    <t>Czech Republic</t>
  </si>
  <si>
    <t>Denmark</t>
  </si>
  <si>
    <t>Norway</t>
  </si>
  <si>
    <t>Poland</t>
  </si>
  <si>
    <t>Sweden</t>
  </si>
  <si>
    <t>Switzerland</t>
  </si>
  <si>
    <t>Ukraine</t>
  </si>
  <si>
    <t>Asia/Pacific</t>
  </si>
  <si>
    <t>Australia</t>
  </si>
  <si>
    <t>China</t>
  </si>
  <si>
    <t>Hong Kong</t>
  </si>
  <si>
    <t>India</t>
  </si>
  <si>
    <t>Japan</t>
  </si>
  <si>
    <t>Malaysia</t>
  </si>
  <si>
    <t>New Zealand</t>
  </si>
  <si>
    <t>Russia</t>
  </si>
  <si>
    <t>Singapore</t>
  </si>
  <si>
    <t>South Korea</t>
  </si>
  <si>
    <t>Taiwan</t>
  </si>
  <si>
    <t>Thailand</t>
  </si>
  <si>
    <t>Africa</t>
  </si>
  <si>
    <t>South Africa</t>
  </si>
  <si>
    <t>Data as of: 2026-06-05  |  Source: LSEG Refinitiv</t>
  </si>
  <si>
    <t>ATGV5YUSAC=R</t>
  </si>
  <si>
    <t>BEGV5YUSAC=R</t>
  </si>
  <si>
    <t>FIGV5YUSAC=R</t>
  </si>
  <si>
    <t>FRGV5YUSAC=R</t>
  </si>
  <si>
    <t>DEGV5YUSAC=R</t>
  </si>
  <si>
    <t>GRGV5YUSAC=R</t>
  </si>
  <si>
    <t>IEGV5YUSAC=R</t>
  </si>
  <si>
    <t>ITGV5YUSAC=R</t>
  </si>
  <si>
    <t>LUGV5YUSAC=R</t>
  </si>
  <si>
    <t>NLGV5YUSAC=R</t>
  </si>
  <si>
    <t>PTGV5YUSAC=R</t>
  </si>
  <si>
    <t>SIGV5YUSAC=R</t>
  </si>
  <si>
    <t>ESGV5YUSAC=R</t>
  </si>
  <si>
    <t>GBGV5YUSAC=R</t>
  </si>
  <si>
    <t>CZGV5YUSAC=R</t>
  </si>
  <si>
    <t>DKGV5YUSAC=R</t>
  </si>
  <si>
    <t>NOGV5YUSAC=R</t>
  </si>
  <si>
    <t>PLGV5YUSAC=R</t>
  </si>
  <si>
    <t>SEGV5YUSAC=R</t>
  </si>
  <si>
    <t>CHGV5YUSAC=R</t>
  </si>
  <si>
    <t>UAGV5YUSAC=R</t>
  </si>
  <si>
    <t>AUGV5YUSAC=R</t>
  </si>
  <si>
    <t>CNGV5YUSAC=R</t>
  </si>
  <si>
    <t>HKGV5YUSAC=R</t>
  </si>
  <si>
    <t>INGV5YUSAC=R</t>
  </si>
  <si>
    <t>JPGV5YUSAC=R</t>
  </si>
  <si>
    <t>MYGV5YUSAC=R</t>
  </si>
  <si>
    <t>NZGV5YUSAC=R</t>
  </si>
  <si>
    <t>RUGV5YUSAC=R</t>
  </si>
  <si>
    <t>SGGV5YUSAC=R</t>
  </si>
  <si>
    <t>KRGV5YUSAC=R</t>
  </si>
  <si>
    <t>TWGV5YUSAC=R</t>
  </si>
  <si>
    <t>THGV5YUSAC=R</t>
  </si>
  <si>
    <t>ZAGV5YUSAC=R</t>
  </si>
  <si>
    <t>USGV5YUSAC=R</t>
  </si>
  <si>
    <t>BRGV5YUSAC=R</t>
  </si>
  <si>
    <t>CAGV5YUSAC=R</t>
  </si>
  <si>
    <t>MXGV5YUSAC=R</t>
  </si>
  <si>
    <t>CDS RIC</t>
  </si>
  <si>
    <t>Equity RIC</t>
  </si>
  <si>
    <t>.BVSP</t>
  </si>
  <si>
    <t>.GSPTSE</t>
  </si>
  <si>
    <t>.MXX</t>
  </si>
  <si>
    <t>.SPX</t>
  </si>
  <si>
    <t>.ATX</t>
  </si>
  <si>
    <t>.BFX</t>
  </si>
  <si>
    <t>.OMXH25</t>
  </si>
  <si>
    <t>.FCHI</t>
  </si>
  <si>
    <t>.GDAXI</t>
  </si>
  <si>
    <t>.ATG</t>
  </si>
  <si>
    <t>.ISEQ</t>
  </si>
  <si>
    <t>.FTMIB</t>
  </si>
  <si>
    <t>.AEX</t>
  </si>
  <si>
    <t>.PSI20</t>
  </si>
  <si>
    <t>.SBITOP</t>
  </si>
  <si>
    <t>.IBEX</t>
  </si>
  <si>
    <t>.FTSE</t>
  </si>
  <si>
    <t>.PX</t>
  </si>
  <si>
    <t>.OSEAX</t>
  </si>
  <si>
    <t>.WIG20</t>
  </si>
  <si>
    <t>.OMXS30</t>
  </si>
  <si>
    <t>.SSMI</t>
  </si>
  <si>
    <t>.PFTS</t>
  </si>
  <si>
    <t>Current Price</t>
  </si>
  <si>
    <t>Price 5 days ago</t>
  </si>
  <si>
    <t>.AXJO</t>
  </si>
  <si>
    <t>.SSEC</t>
  </si>
  <si>
    <t>.HSI</t>
  </si>
  <si>
    <t>.BSESN</t>
  </si>
  <si>
    <t>.N225</t>
  </si>
  <si>
    <t>.KLSE</t>
  </si>
  <si>
    <t>.NZ50</t>
  </si>
  <si>
    <t>.IMOEX</t>
  </si>
  <si>
    <t>.STI</t>
  </si>
  <si>
    <t>.KS11</t>
  </si>
  <si>
    <t>.TWII</t>
  </si>
  <si>
    <t>.SETI</t>
  </si>
  <si>
    <t>.JALSH</t>
  </si>
  <si>
    <t>FX RC</t>
  </si>
  <si>
    <t>BRL=</t>
  </si>
  <si>
    <t>CAD=</t>
  </si>
  <si>
    <t>MXN=</t>
  </si>
  <si>
    <t>DXY</t>
  </si>
  <si>
    <t>EUR=</t>
  </si>
  <si>
    <t>GBP=</t>
  </si>
  <si>
    <t>CZK=</t>
  </si>
  <si>
    <t>DKK=</t>
  </si>
  <si>
    <t>NOK=</t>
  </si>
  <si>
    <t>PLN=</t>
  </si>
  <si>
    <t>SEK=</t>
  </si>
  <si>
    <t>CHF=</t>
  </si>
  <si>
    <t>UAH=</t>
  </si>
  <si>
    <t>AUD=</t>
  </si>
  <si>
    <t>CNY=</t>
  </si>
  <si>
    <t>HKD=</t>
  </si>
  <si>
    <t>INR=</t>
  </si>
  <si>
    <t>JPY=</t>
  </si>
  <si>
    <t>MYR=</t>
  </si>
  <si>
    <t>NZD=</t>
  </si>
  <si>
    <t>RUB=</t>
  </si>
  <si>
    <t>SGD=</t>
  </si>
  <si>
    <t>KRW=</t>
  </si>
  <si>
    <t>TWD=</t>
  </si>
  <si>
    <t>THB=</t>
  </si>
  <si>
    <t>ZAR=</t>
  </si>
  <si>
    <t>FX now</t>
  </si>
  <si>
    <t>FX 5 days ago</t>
  </si>
  <si>
    <t>CIQ Code</t>
  </si>
  <si>
    <t>Americas</t>
  </si>
  <si>
    <t>IQT46197138</t>
  </si>
  <si>
    <t>IQT313310184</t>
  </si>
  <si>
    <t>IQT46210560</t>
  </si>
  <si>
    <t>IQT49751196</t>
  </si>
  <si>
    <t>IQT46194995</t>
  </si>
  <si>
    <t>IQT46196225</t>
  </si>
  <si>
    <t>IQT46203332</t>
  </si>
  <si>
    <t>IQT46203714</t>
  </si>
  <si>
    <t>IQT46204300</t>
  </si>
  <si>
    <t>IQT46204884</t>
  </si>
  <si>
    <t>IQT46207308</t>
  </si>
  <si>
    <t>IQT46207571</t>
  </si>
  <si>
    <t>IQT644701797</t>
  </si>
  <si>
    <t>IQT79640024</t>
  </si>
  <si>
    <t>IQT46214954</t>
  </si>
  <si>
    <t>IQT46218516</t>
  </si>
  <si>
    <t>IQT46206779</t>
  </si>
  <si>
    <t>Rest of Europe</t>
  </si>
  <si>
    <t>IQT46262378</t>
  </si>
  <si>
    <t>IQT46200276</t>
  </si>
  <si>
    <t>IQT79639913</t>
  </si>
  <si>
    <t>IQT51023480</t>
  </si>
  <si>
    <t>IQT46214879</t>
  </si>
  <si>
    <t>IQT46219922</t>
  </si>
  <si>
    <t>IQT60389516</t>
  </si>
  <si>
    <t>IQT46222292</t>
  </si>
  <si>
    <t>IQT51023260</t>
  </si>
  <si>
    <t>IQT46215111</t>
  </si>
  <si>
    <t>IQT79639953</t>
  </si>
  <si>
    <t>IQT60388057</t>
  </si>
  <si>
    <t>IQT46207789</t>
  </si>
  <si>
    <t>IQT46210032</t>
  </si>
  <si>
    <t>IQT46213472</t>
  </si>
  <si>
    <t>IQT46216986</t>
  </si>
  <si>
    <t>IQT313305879</t>
  </si>
  <si>
    <t>IQT46208634</t>
  </si>
  <si>
    <t>IQT46220803</t>
  </si>
  <si>
    <t xml:space="preserve"> 5 Day Change</t>
  </si>
  <si>
    <t>10 day change</t>
  </si>
  <si>
    <t>14 day change</t>
  </si>
  <si>
    <t>3 month change</t>
  </si>
  <si>
    <t>1 year change</t>
  </si>
  <si>
    <t>Thresholds</t>
  </si>
  <si>
    <t>CDS</t>
  </si>
  <si>
    <t>CDS Change</t>
  </si>
  <si>
    <t>IQT46218674</t>
  </si>
  <si>
    <t>Citigroup</t>
  </si>
  <si>
    <t>IQT46197694</t>
  </si>
  <si>
    <t>Bank of America</t>
  </si>
  <si>
    <t>IQT46195491</t>
  </si>
  <si>
    <t>JPMorgan Chase &amp; Co</t>
  </si>
  <si>
    <t>IQT46207872</t>
  </si>
  <si>
    <t>Goldman Sachs Group</t>
  </si>
  <si>
    <t>IQT46204957</t>
  </si>
  <si>
    <t>Morgan Stanley</t>
  </si>
  <si>
    <t>IQT46470877</t>
  </si>
  <si>
    <t>Wells Fargo</t>
  </si>
  <si>
    <t>IQT46223646</t>
  </si>
  <si>
    <t>State Street Bank &amp; Trust</t>
  </si>
  <si>
    <t>IQT323680130</t>
  </si>
  <si>
    <t>BNP Paribas SA</t>
  </si>
  <si>
    <t>IQT46225006</t>
  </si>
  <si>
    <t>Credit Agricole SA</t>
  </si>
  <si>
    <t>IQT46224740</t>
  </si>
  <si>
    <t>Societe Generale SA</t>
  </si>
  <si>
    <t>IQT46226132</t>
  </si>
  <si>
    <t>UBS Group AG**</t>
  </si>
  <si>
    <t>IQT528936812</t>
  </si>
  <si>
    <t>Credit Suisse Group AG</t>
  </si>
  <si>
    <t>IQT46199841</t>
  </si>
  <si>
    <t>U.K.</t>
  </si>
  <si>
    <t>Barclays Bank PLC</t>
  </si>
  <si>
    <t>IQT286096131</t>
  </si>
  <si>
    <t>HSBC Holdings PLC</t>
  </si>
  <si>
    <t>IQT46225374</t>
  </si>
  <si>
    <t>RBS Group PLC</t>
  </si>
  <si>
    <t>IQT263213132</t>
  </si>
  <si>
    <t>Standard Chartered Bank</t>
  </si>
  <si>
    <t>IQT254955233</t>
  </si>
  <si>
    <t>Deutche Bank AG</t>
  </si>
  <si>
    <t>IQT46200412</t>
  </si>
  <si>
    <t>Commerzbank</t>
  </si>
  <si>
    <t>IQT46225083</t>
  </si>
  <si>
    <t>Danske</t>
  </si>
  <si>
    <t>IQT46200364</t>
  </si>
  <si>
    <t>Mitsubishi</t>
  </si>
  <si>
    <t xml:space="preserve">IQT46225715 </t>
  </si>
  <si>
    <t>Sumitomo</t>
  </si>
  <si>
    <t>IQT62270107</t>
  </si>
  <si>
    <t>Mizuho</t>
  </si>
  <si>
    <t>IQT79634901</t>
  </si>
  <si>
    <t>Daiwa</t>
  </si>
  <si>
    <t>IQT46200317</t>
  </si>
  <si>
    <t>Nomura</t>
  </si>
  <si>
    <t>IQT62270106</t>
  </si>
  <si>
    <t>Bank of Nova Scotia</t>
  </si>
  <si>
    <t>IQT313310854</t>
  </si>
  <si>
    <t>BMO</t>
  </si>
  <si>
    <t>IQT313314976</t>
  </si>
  <si>
    <t>CIBC</t>
  </si>
  <si>
    <t>IQT313315429</t>
  </si>
  <si>
    <t>TD</t>
  </si>
  <si>
    <t>IQT46220329</t>
  </si>
  <si>
    <t>RBC</t>
  </si>
  <si>
    <t>IQT313317344</t>
  </si>
  <si>
    <t>Nationale</t>
  </si>
  <si>
    <t>IQT313313524</t>
  </si>
  <si>
    <t>Laurentian</t>
  </si>
  <si>
    <t>.LUXX</t>
  </si>
  <si>
    <t>.OMXC25CAP</t>
  </si>
  <si>
    <t>Threshold  (Green)</t>
  </si>
  <si>
    <t>Threshold Red</t>
  </si>
  <si>
    <t>BAABTAVMT0NBTAFI/////wFQtwQAACRDSVEuSVFUMzEzMzEwMTg0LklRX0NEU19NSUQuMjQvMDcvMjYBAAAAYEQ+AAIAAAAGMTEuMDM0AE4Oc4LZ694I0lFFsNnr3ggjQ0lRLklRVDQ2MjE0ODc5LklRX0NEU19NSUQuMjQvMDcvMjYBAAAA9Ro3AAIAAAAHNTAuOTIyMQCAg3OC2eveCNJRRbDZ694II0NJUS5JUVQ0NjQ3MDg3Ny5JUV9DRFNfTUlELjI0LzA3LzI2AQAAAEI3BwACAAAABzU5LjQxODYA575zgtnr3gingkaw2eveCCRDSVEuSVFUMzEzMzEwODU0LklRX0NEU19NSUQuMjQvMDcvMjYBAAAAr1QNAAIAAAAHNjEuNjY2NwDW7+yB2eveCGrnRrDZ694II0NJUS5JUVQ0NjIxNDk1NC5JUV9DRFNfTUlELjI2LzA3LzI2AQAAADo9OQECAAAABjE0LjQyOQB9XHOC2eveCProWLDZ694II0NJUS5JUVQ0NjIwODYzNC5JUV9DRFNfTUlELjI2LzA3LzI2AQAAAAMfwgACAAAABzIzLjMyNTEAcJdzgtnr3giNTFmw2eveCCNDSVEuSVFUNDYyMjUwODMuSVFfQ0RTX01JRC4yNi8wNy8yNgEAAABWRAYAAgAAAAIzNwCaDXSC2eveCMnBWbDZ694II0NJUS5JUVQ0NjIwMzcxNC5JUV9DRFNfTUlELjI1LzA3LzI2AQAAAF8FNQACAAAABzMxLjc1NjMATDVzgtnr3giXE0Sw2eveCCNDSVEuSVFUNzk2Mzk5NTMuSVFfQ0RTX01JRC4yNS8wNy8yNgEAAAA0m1YBAgAAAAcyNC44ODcxAHCXc4LZ694IlxNEsNnr3ggkQ0lRLklR</t>
  </si>
  <si>
    <t>VDUyODkzNjgxMi5JUV9DRFNfTUlELjI1LzA3LzI2AQAAAGxbBgACAAAABzQ4LjI5OTcAkuZzgtnr3gjSUUWw2eveCCNDSVEuSVFUNDYxOTcxMzguSVFfQ0RTX01JRC4yMy8wNy8yNgEAAADulDgBAgAAAAgxMjUuNDM5OQBODnOC2eveCDgMR7DZ694II0NJUS5JUVQ1MTAyMzQ4MC5JUV9DRFNfTUlELjIzLzA3LzI2AQAAAMJF8QECAAAABjQuNjgzNwCAg3OC2eveCElaR7DZ694II0NJUS5JUVQ0NjIwNDk1Ny5JUV9DRFNfTUlELjIzLzA3LzI2AQAAACEVBgACAAAABzU1Ljc2NDQA575zgtnr3gj/1Uew2eveCCNDSVEuSVFUNjIyNzAxMDYuSVFfQ0RTX01JRC4yMy8wNy8yNgEAAACtd4MAAgAAAAc3NS4yMDM1AMzI7IHZ694Ikv9HsNnr3ggjQ0lRLklRVDc5NjQwMDI0LklRX0NEU19NSUQuMTQvMDcvMjYBAAAANY+bAQIAAAAFNy44NzUAfVxzgtnr3gjZBFSw2eveCCRDSVEuSVFUMzEzMzA1ODc5LklRX0NEU19NSUQuMTQvMDcvMjYBAAAAhNbcAQIAAAAGMi4zMzM0AHCXc4LZ694IYlRUsNnr3ggjQ0lRLklRVDQ2MjAwNDEyLklRX0NEU19NSUQuMTQvMDcvMjYBAAAAY0MGAAIAAAAHNDYuMjEwNQCaDXSC2eveCOe4VLDZ694II0NJUS5JUVQ0NjIwMzMzMi5JUV9DRFNfTUlELjI3LzA0LzI2AQAAAF8eNwACAAAABzEyLjgzMzMATDVzgtnr3ggWfVaw2eveCCNDSVEuSVFUNDYyNjIzNzguSVFfQ0RTX01JRC4xOS8w</t>
  </si>
  <si>
    <t>Ny8yNgEAAABA0okBAgAAAAYxOC4zNzUAfVxzgtnr3gi5Y0iw2eveCCRDSVEuSVFUMjg2MDk2MTMxLklRX0NEU19NSUQuMjcvMDcvMjYBAAAAO/EEAAIAAAAHNjAuOTA0NwCS5nOC2eveCKNzWLDZ694II0NJUS5JUVQ0NjQ3MDg3Ny5JUV9DRFNfTUlELjIzLzA3LzI2AQAAAEI3BwACAAAABzU4LjQxMzkA575zgtnr3gj/1Uew2eveCCNDSVEuSVFUNDYxOTcxMzguSVFfQ0RTX01JRC4yMi8wNy8yNgEAAADulDgBAgAAAAgxMjAuNzM5NABODnOC2eveCLljSLDZ694II0NJUS5JUVQ2MjI3MDEwNi5JUV9DRFNfTUlELjIyLzA3LzI2AQAAAK13gwACAAAABzc1LjIwNzQA1u/sgdnr3ggYoEqw2eveCCNDSVEuSVFUNDYyMTY5ODYuSVFfQ0RTX01JRC4yMS8wNy8yNgEAAADORDgBAwAAAAAAcJdzgtnr3gjhekuw2eveCCRDSVEuSVFUMzEzMzE1NDI5LklRX0NEU19NSUQuMTMvMDcvMjYBAAAAOecFAAIAAAAHNjIuMzMzMwDW7+yB2eveCJ4tVrDZ694IJENJUS5JUVQyODYwOTYxMzEuSVFfQ0RTX01JRC4yNC8wNy8yNgEAAAA78QQAAgAAAAc2MC45MDQ3AJLmc4LZ694IyqlGsNnr3ggjQ0lRLklRVDQ2MjIzNjQ2LklRX0NEU19NSUQuMjYvMDcvMjYBAAAAG3gEAAIAAAAHNDkuOTM1NADnvnOC2eveCFx0WbDZ694II0NJUS5JUVQ0NjQ3MDg3Ny5JUV9DRFNfTUlELjE0LzA3LzI2AQAAAEI3BwACAAAABzU2Ljc0MTEA575z</t>
  </si>
  <si>
    <t>gtnr3gigk1Sw2eveCCNDSVEuSVFUNDYyMDQ5NTcuSVFfQ0RTX01JRC4xNy8wNy8yNgEAAAAhFQYAAgAAAAc1NS4yNjQxAOe+c4LZ694IrQhQsNnr3ggjQ0lRLklRVDQ2MjI2MTMyLklRX0NEU19NSUQuMjcvMDcvMjUBAAAA3VkAAAIAAAAHNDYuMDM0NwCS5nOC2eveCOAkTrDZ694II0NJUS5JUVQ0NjE5NjIyNS5JUV9DRFNfTUlELjI2LzA3LzI2AQAAAL5VowECAAAABzE3LjU1MjQATDVzgtnr3gjvwViw2eveCCNDSVEuSVFUNDYyMjA4MDMuSVFfQ0RTX01JRC4yMC8wNy8yNgEAAADWyTYAAgAAAAc0My4wMjc1AOe+c4LZ694IfEpPsNnr3ggjQ0lRLklRVDQ2MTk0OTk1LklRX0NEU19NSUQuMTYvMDcvMjYBAAAAbhAxAAIAAAAEMTAuOQBMNXOC2eveCG3NULDZ694II0NJUS5JUVQ0NjIyMjI5Mi5JUV9DRFNfTUlELjE2LzA3LzI2AQAAANGRmwECAAAACDc2MC41NzIzAICDc4LZ694I9JdRsNnr3ggjQ0lRLklRVDQ2MjI1MDA2LklRX0NEU19NSUQuMTYvMDcvMjYBAAAA+FUNAAIAAAAHNDIuNTQzOACS5nOC2eveCIENUrDZ694II0NJUS5JUVQ0NjIyMDMyOS5JUV9DRFNfTUlELjE2LzA3LzI2AQAAANtbAAACAAAAAjU2ANbv7IHZ694IlFtSsNnr3ggjQ0lRLklRVDQ2MjYyMzc4LklRX0NEU19NSUQuMTMvMDcvMjYBAAAAQNKJAQIAAAAHMTcuODMzMwB9XHOC2eveCBVVVbDZ694II0NJUS5JUVQ0NjE5NzY5NC5J</t>
  </si>
  <si>
    <t>UV9DRFNfTUlELjEzLzA3LzI2AQAAAAf6BQACAAAABzUyLjA1MjEA575zgtnr3gg+ylWw2eveCCNDSVEuSVFUNjIyNzAxMDcuSVFfQ0RTX01JRC4xMy8wNy8yNgEAAAAVWQAAAgAAAAc0MS4yNTE4AJoNdILZ694Ini1WsNnr3ggjQ0lRLklRVDQ2MjA3MzA4LklRX0NEU19NSUQuMjcvMDcvMjYBAAAAOYl6AQIAAAAHMTQuNTYyNQBMNXOC2eveCMuvV7DZ694II0NJUS5JUVQ0NjIxMDAzMi5JUV9DRFNfTUlELjI3LzA3LzI2AQAAAI9VowECAAAABzM4LjE5NDUAcJdzgtnr3ggp/1ew2eveCCNDSVEuSVFUNDYyMjUzNzQuSVFfQ0RTX01JRC4yNy8wNy8yNgEAAAC11gUAAgAAAAczOS41NTQ0AJLmc4LZ694Io3NYsNnr3ggjQ0lRLklRVDQ5NzUxMTk2LklRX0NEU19NSUQuMjQvMDcvMjYBAAAAzZm9AAIAAAAHNDAuNTcwNgBODnOC2eveCNJRRbDZ694II0NJUS5JUVQ2MDM4OTUxNi5JUV9DRFNfTUlELjI0LzA3LzI2AQAAAKXwwwECAAAABjcuMjQ3MQCAg3OC2eveCNJRRbDZ694IJENJUS5JUVQzMjM2ODAxMzAuSVFfQ0RTX01JRC4yNC8wNy8yNgEAAABx4QIAAgAAAAc1Mi40OTM4AJLmc4LZ694Ip4JGsNnr3ggkQ0lRLklRVDMxMzMxNTQyOS5JUV9DRFNfTUlELjI0LzA3LzI2AQAAADnnBQACAAAABzYyLjUwNjcA1u/sgdnr3ghq50aw2eveCCNDSVEuSVFUNDYyMDY3NzkuSVFfQ0RTX01JRC4yNi8wNy8yNgEAAAD8</t>
  </si>
  <si>
    <t>7zYAAgAAAAcxNi40NzI2AH1cc4LZ694I+uhYsNnr3ggjQ0lRLklRVDQ2MjE4Njc0LklRX0NEU19NSUQuMjYvMDcvMjYBAAAAV8o2AAIAAAAIMTM0LjQxMzIA575zgtnr3ghcdFmw2eveCCNDSVEuSVFUNDYyMjU3MTUuSVFfQ0RTX01JRC4yNi8wNy8yNgEAAAC35QQAAgAAAAc0My40NjE1AJoNdILZ694IycFZsNnr3ggjQ0lRLklRVDQ2MjA0ODg0LklRX0NEU19NSUQuMjUvMDcvMjYBAAAAgVHAAQIAAAAHMjkuODMzMwBMNXOC2eveCJcTRLDZ694II0NJUS5JUVQ0NjIwNzc4OS5JUV9DRFNfTUlELjI1LzA3LzI2AQAAACpYowECAAAABzI3LjExMjMAcJdzgtnr3giXE0Sw2eveCCRDSVEuSVFUMjg2MDk2MTMxLklRX0NEU19NSUQuMjUvMDcvMjYBAAAAO/EEAAIAAAAHNjAuOTA0NwCS5nOC2eveCNJRRbDZ694II0NJUS5JUVQ0NjIxMDU2MC5JUV9DRFNfTUlELjIzLzA3LzI2AQAAAPYaNwACAAAABzg4Ljk0MDQATg5zgtnr3gg4DEew2eveCCNDSVEuSVFUNDYyMTk5MjIuSVFfQ0RTX01JRC4yMy8wNy8yNgEAAADWRzkBAgAAAAQ3LjI1AICDc4LZ694IUoFHsNnr3ggjQ0lRLklRVDQ2MjIzNjQ2LklRX0NEU19NSUQuMjMvMDcvMjYBAAAAG3gEAAIAAAAHNDkuNzY5MwDnvnOC2eveCP/VR7DZ694IJENJUS5JUVQzMTMzMTQ5NzYuSVFfQ0RTX01JRC4yMy8wNy8yNgEAAABtSgAAAgAAAAc1OC4xNjU5ANbv7IHZ694I</t>
  </si>
  <si>
    <t>kv9HsNnr3ggjQ0lRLklRVDQ2MjE4NTE2LklRX0NEU19NSUQuMTQvMDcvMjYBAAAAplWjAQIAAAAHMzUuODgxNgB9XHOC2eveCNkEVLDZ694II0NJUS5JUVQ0NjIyMDgwMy5JUV9DRFNfTUlELjE0LzA3LzI2AQAAANbJNgACAAAABzQxLjk5ODcA575zgtnr3ghiVFSw2eveCCNDSVEuSVFUNDYyMDAzNjQuSVFfQ0RTX01JRC4xNC8wNy8yNgEAAABXhggAAgAAAAUyNS4wMgCaDXSC2eveCAXgVLDZ694II0NJUS5JUVQ0NjIwNDMwMC5JUV9DRFNfTUlELjI3LzA0LzI2AQAAAPYlfQACAAAABjkuMDY2NABMNXOC2eveCBZ9VrDZ694II0NJUS5JUVQ2MDM4ODA1Ny5JUV9DRFNfTUlELjI3LzA0LzI2AQAAAN/JfQEDAAAAAABwl3OC2eveCAPLVrDZ694II0NJUS5JUVQ0NjE5OTg0MS5JUV9DRFNfTUlELjI3LzA0LzI2AQAAAOswBgADAAAAAACS5nOC2eveCG8jV7DZ694IJENJUS5JUVQzMTMzMTAxODQuSVFfQ0RTX01JRC4yMi8wNy8yNgEAAABgRD4AAgAAAAcxMS4wMDE1AE4Oc4LZ694IuWNIsNnr3ggjQ0lRLklRVDQ2MjE0ODc5LklRX0NEU19NSUQuMjIvMDcvMjYBAAAA9Ro3AAIAAAAHNTAuOTI3NQCAg3OC2eveCN4CSrDZ694II0NJUS5JUVQ0NjQ3MDg3Ny5JUV9DRFNfTUlELjIyLzA3LzI2AQAAAEI3BwACAAAABzU3LjQ2NzMA575zgtnr3ghlUUqw2eveCCRDSVEuSVFUMzEzMzEwODU0LklRX0NEU19NSUQuMjIv</t>
  </si>
  <si>
    <t>MDcvMjYBAAAAr1QNAAIAAAAENjEuNQDW7+yB2eveCCPHSrDZ694II0NJUS5JUVQ0NjIxNDk1NC5JUV9DRFNfTUlELjE3LzA3LzI2AQAAADo9OQECAAAABDE0LjQAfVxzgtnr3gitCFCw2eveCCNDSVEuSVFUNDYyMDg2MzQuSVFfQ0RTX01JRC4xNy8wNy8yNgEAAAADH8IAAgAAAAYyMi44MjUAcJdzgtnr3gitCFCw2eveCCNDSVEuSVFUNDYyMjUwODMuSVFfQ0RTX01JRC4xNy8wNy8yNgEAAABWRAYAAgAAAAQzNi41AJoNdILZ694Ibc1QsNnr3ggjQ0lRLklRVDQ2MjAzNzE0LklRX0NEU19NSUQuMTUvMDcvMjYBAAAAXwU1AAIAAAAHMzEuMTYwOQBMNXOC2eveCGCqUrDZ694II0NJUS5JUVQ3OTYzOTk1My5JUV9DRFNfTUlELjE1LzA3LzI2AQAAADSbVgECAAAABzI0Ljk1NDgAcJdzgtnr3ggfDVOw2eveCCRDSVEuSVFUNTI4OTM2ODEyLklRX0NEU19NSUQuMTUvMDcvMjYBAAAAbFsGAAIAAAAHNDcuMjU0MQCS5nOC2eveCHxoU7DZ694II0NJUS5JUVQ0NjE5NzEzOC5JUV9DRFNfTUlELjI3LzA3LzI1AQAAAO6UOAECAAAACDE0OC4zODc4AE4Oc4LZ694I/ElNsNnr3ggjQ0lRLklRVDUxMDIzNDgwLklRX0NEU19NSUQuMjcvMDcvMjUBAAAAwkXxAQIAAAAGNy44NDI3AICDc4LZ694Izb9NsNnr3ggjQ0lRLklRVDQ2MjA0OTU3LklRX0NEU19NSUQuMjcvMDcvMjUBAAAAIRUGAAIAAAAHNTcuNDMyMwDnvnOC2eve</t>
  </si>
  <si>
    <t>COAkTrDZ694II0NJUS5JUVQ2MjI3MDEwNi5JUV9DRFNfTUlELjI3LzA3LzI1AQAAAK13gwACAAAABzc3LjEwNDUA1u/sgdnr3gi5iE6w2eveCCNDSVEuSVFUNzk2NDAwMjQuSVFfQ0RTX01JRC4yMS8wNy8yNgEAAAA1j5sBAgAAAAY3LjgzMzMAfVxzgtnr3ghAFUuw2eveCCRDSVEuSVFUMzEzMzA1ODc5LklRX0NEU19NSUQuMjEvMDcvMjYBAAAAhNbcAQIAAAAGMi4zMzM0AHCXc4LZ694I4XpLsNnr3ggjQ0lRLklRVDQ2MjAwNDEyLklRX0NEU19NSUQuMjEvMDcvMjYBAAAAY0MGAAIAAAAHNDQuODUxMwCaDXSC2eveCK3SS7DZ694II0NJUS5JUVQ0NjIwMzMzMi5JUV9DRFNfTUlELjIwLzA3LzI2AQAAAF8eNwACAAAABzExLjE2NjcATDVzgtnr3ggd1k6w2eveCCNDSVEuSVFUNDYyMTUxMTEuSVFfQ0RTX01JRC4yMC8wNy8yNgEAAACgS7IBAgAAAAczNy41MDM2AHCXc4LZ694IcCNPsNnr3ggjQ0lRLklRVDQ2MjI2MTMyLklRX0NEU19NSUQuMjAvMDcvMjYBAAAA3VkAAAIAAAAHNDQuMjUxMQCS5nOC2eveCPt3T7DZ694IJENJUS5JUVQzMTMzMTM1MjQuSVFfQ0RTX01JRC4yMC8wNy8yNgEAAADvVQ0AAgAAAAc1OS45NzU0ANbv7IHZ694IDKNPsNnr3ggjQ0lRLklRVDc5NjM5OTEzLklRX0NEU19NSUQuMTkvMDcvMjYBAAAAIGMcAgIAAAAFOC4xMjUAfVxzgtnr3gi5Y0iw2eveCCNDSVEuSVFUNDYyMDc4NzIu</t>
  </si>
  <si>
    <t>SVFfQ0RTX01JRC4xOS8wNy8yNgEAAABYDQoAAgAAAAc0MC44MDMyAOe+c4LZ694IuWNIsNnr3ggjQ0lRLklRVDQ2MjAwMzE3LklRX0NEU19NSUQuMTkvMDcvMjYBAAAA/lQNAAIAAAAHNjMuNjUzMwDMyOyB2eveCLljSLDZ694IJENJUS5JUVQ2NDQ3MDE3OTcuSVFfQ0RTX01JRC4xOC8wNy8yNgEAAABTP30BAgAAAAcxMC4zODE3AEw1c4LZ694I3klMsNnr3ggjQ0lRLklRVDQ2MjE2OTg2LklRX0NEU19NSUQuMTgvMDcvMjYBAAAAzkQ4AQMAAAAAAHCXc4LZ694IN79MsNnr3ggkQ0lRLklRVDI1NDk1NTIzMy5JUV9DRFNfTUlELjE4LzA3LzI2AQAAADlWCgACAAAABzQzLjMzODYAmg10gtnr3gj9Ik2w2eveCCNDSVEuSVFUNjIyNzAxMDYuSVFfQ0RTX01JRC4xOS8wNy8yNgEAAACtd4MAAgAAAAc3NS4yMTgxANbv7IHZ694IuWNIsNnr3ggjQ0lRLklRVDc5NjQwMDI0LklRX0NEU19NSUQuMTgvMDcvMjYBAAAANY+bAQIAAAAGNy44MzMzAH1cc4LZ694I3klMsNnr3ggkQ0lRLklRVDMxMzMwNTg3OS5JUV9DRFNfTUlELjE4LzA3LzI2AQAAAITW3AECAAAABjIuMzMzNABwl3OC2eveCDe/TLDZ694II0NJUS5JUVQ0NjIwMDQxMi5JUV9DRFNfTUlELjE4LzA3LzI2AQAAAGNDBgACAAAABzQ1LjgzMzMAmg10gtnr3gj9Ik2w2eveCCNDSVEuSVFUNDYyMTAwMzIuSVFfQ0RTX01JRC4yNy8wNC8yNgEAAACPVaMBAgAA</t>
  </si>
  <si>
    <t>AAczOC4yNTY2AHCXc4LZ694IA8tWsNnr3ggjQ0lRLklRVDQ2MjE5OTIyLklRX0NEU19NSUQuMjcvMDcvMjUBAAAA1kc5AQIAAAAGOS44NjE2AICDc4LZ694Izb9NsNnr3ggjQ0lRLklRVDYyMjcwMTA3LklRX0NEU19NSUQuMjEvMDcvMjYBAAAAFVkAAAIAAAAHNDEuMzM5NQCaDXSC2eveCK3SS7DZ694II0NJUS5JUVQ0NjIxMDAzMi5JUV9DRFNfTUlELjIwLzA3LzI2AQAAAI9VowECAAAABzM2LjY2NjkAcJdzgtnr3gh8Sk+w2eveCCNDSVEuSVFUNDk3NTExOTYuSVFfQ0RTX01JRC4xOS8wNy8yNgEAAADNmb0AAgAAAAc0MS44MzMzAEw1c4LZ694IuWNIsNnr3ggkQ0lRLklRVDMxMzMxNTQyOS5JUV9DRFNfTUlELjE5LzA3LzI2AQAAADnnBQACAAAABzYyLjEyODYA1u/sgdnr3gi5Y0iw2eveCCNDSVEuSVFUNDYyMjUzNzQuSVFfQ0RTX01JRC4xNi8wNy8yNgEAAAC11gUAAgAAAAYzOC40MTUAmg10gtnr3gieNFKw2eveCCNDSVEuSVFUNDYyMTg2NzQuSVFfQ0RTX01JRC4yNy8wNy8yNgEAAABXyjYAAgAAAAgxMzQuNDEzMgDnvnOC2eveCC8mWLDZ694II0NJUS5JUVQ0NjIxODUxNi5JUV9DRFNfTUlELjI1LzA3LzI2AQAAAKZVowECAAAABjM1LjM3OAB9XHOC2eveCJcTRLDZ694II0NJUS5JUVQ2MDM4ODA1Ny5JUV9DRFNfTUlELjIzLzA3LzI2AQAAAN/JfQEDAAAAAABwl3OC2eveCFKBR7DZ694II0NJUS5J</t>
  </si>
  <si>
    <t>UVQ0NjIyNTA4My5JUV9DRFNfTUlELjI3LzA0LzI2AQAAAFZEBgACAAAABjQ2LjM3NQCaDXSC2eveCKhMV7DZ694IJENJUS5JUVQ1Mjg5MzY4MTIuSVFfQ0RTX01JRC4yMi8wNy8yNgEAAABsWwYAAgAAAAc0Ni45ODQxAJLmc4LZ694ILHlKsNnr3ggkQ0lRLklRVDMxMzMxMzUyNC5JUV9DRFNfTUlELjI3LzA3LzI1AQAAAO9VDQACAAAABzUxLjQ3ODEA1u/sgdnr3gidrU6w2eveCCNDSVEuSVFUNDYyMDc4NzIuSVFfQ0RTX01JRC4yMS8wNy8yNgEAAABYDQoAAgAAAAc0MC44NTk1AOe+c4LZ694I4XpLsNnr3ggkQ0lRLklRVDY0NDcwMTc5Ny5JUV9DRFNfTUlELjIwLzA3LzI2AQAAAFM/fQECAAAABzEwLjUwNzMATDVzgtnr3ggd1k6w2eveCCNDSVEuSVFUNDYyMjQ3NDAuSVFfQ0RTX01JRC4yNi8wNy8yNgEAAADTcggAAgAAAAczNi42MzU0AJLmc4LZ694IOZxZsNnr3ggjQ0lRLklRVDQ2MjI1Mzc0LklRX0NEU19NSUQuMjIvMDcvMjYBAAAAtdYFAAIAAAAHMzguNTg0NQCS5nOC2eveCCx5SrDZ694IJENJUS5JUVQzMTMzMTU0MjkuSVFfQ0RTX01JRC4xNy8wNy8yNgEAAAA55wUAAgAAAAc2Mi4xMjg2ANbv7IHZ694Ibc1QsNnr3ggjQ0lRLklRVDQ2MjA0ODg0LklRX0NEU19NSUQuMjcvMDcvMjUBAAAAgVHAAQIAAAAHNDIuNDA1OABMNXOC2eveCH5yTbDZ694II0NJUS5JUVQ0NjE5NjIyNS5JUV9DRFNfTUlE</t>
  </si>
  <si>
    <t>LjE2LzA3LzI2AQAAAL5VowECAAAABjE3LjM3NQBMNXOC2eveCG3NULDZ694II0NJUS5JUVQ1MTAyMzI2MC5JUV9DRFNfTUlELjE2LzA3LzI2AQAAALERfwECAAAAAjE0AICDc4LZ694IdL9RsNnr3ggjQ0lRLklRVDQ2MjI0NzQwLklRX0NEU19NSUQuMTYvMDcvMjYBAAAA03IIAAIAAAAFMzUuMDYAkuZzgtnr3giBDVKw2eveCCRDSVEuSVFUMzEzMzE3MzQ0LklRX0NEU19NSUQuMTYvMDcvMjYBAAAA8awBAAIAAAAHNjAuMjE5NQDW7+yB2eveCJRbUrDZ694II0NJUS5JUVQ0NjIwMDI3Ni5JUV9DRFNfTUlELjEzLzA3LzI2AQAAAJZ3fAECAAAABzI4Ljk2OTMAfVxzgtnr3ggVVVWw2eveCCNDSVEuSVFUNDYxOTU0OTEuSVFfQ0RTX01JRC4xMy8wNy8yNgEAAABpSgAAAgAAAAc1NC4yMjY1AOe+c4LZ694IPspVsNnr3ggjQ0lRLklRVDc5NjM0OTAxLklRX0NEU19NSUQuMTMvMDcvMjYBAAAAnAYQAAIAAAAHNDEuMTQ4MQDMyOyB2eveCJ4tVrDZ694II0NJUS5JUVQ0NjIwNzU3MS5JUV9DRFNfTUlELjI3LzA3LzI2AQAAAG3vNQACAAAABDMwLjUATDVzgtnr3gjLr1ew2eveCCNDSVEuSVFUNDYyMTM0NzIuSVFfQ0RTX01JRC4yNy8wNy8yNgEAAAC5WjgAAgAAAAYxNS40MTIAcJdzgtnr3ggvJliw2eveCCRDSVEuSVFUMjYzMjEzMTMyLklRX0NEU19NSUQuMjcvMDcvMjYBAAAA4ZoIAAIAAAAHNTYuNTM5MQCaDXSC</t>
  </si>
  <si>
    <t>2eveCKNzWLDZ694II0NJUS5JUVQ0NjE5NDk5NS5JUV9DRFNfTUlELjI0LzA3LzI2AQAAAG4QMQACAAAABzExLjE4MjQATDVzgtnr3gjSUUWw2eveCCNDSVEuSVFUNDYyMjIyOTIuSVFfQ0RTX01JRC4yNC8wNy8yNgEAAADRkZsBAgAAAAg3NzcuMTYyNACAg3OC2eveCNJRRbDZ694II0NJUS5JUVQ0NjIyNTAwNi5JUV9DRFNfTUlELjI0LzA3LzI2AQAAAPhVDQACAAAABjQ0LjcxMgCS5nOC2eveCMqpRrDZ694II0NJUS5JUVQ0NjIyMDMyOS5JUV9DRFNfTUlELjI0LzA3LzI2AQAAANtbAAACAAAABjU2LjY3NADW7+yB2eveCDgMR7DZ694II0NJUS5JUVQ0NjI2MjM3OC5JUV9DRFNfTUlELjI2LzA3LzI2AQAAAEDSiQECAAAAAjE4AH1cc4LZ694I+uhYsNnr3ggjQ0lRLklRVDQ2MTk3Njk0LklRX0NEU19NSUQuMjYvMDcvMjYBAAAAB/oFAAIAAAAHNTMuOTg2OADnvnOC2eveCFx0WbDZ694II0NJUS5JUVQ2MjI3MDEwNy5JUV9DRFNfTUlELjI2LzA3LzI2AQAAABVZAAACAAAABzQyLjQxMTUAmg10gtnr3gjJwVmw2eveCCNDSVEuSVFUNDYyMDczMDguSVFfQ0RTX01JRC4yNS8wNy8yNgEAAAA5iXoBAgAAAAcxNC41NjI1AEw1c4LZ694IlxNEsNnr3ggjQ0lRLklRVDQ2MjEwMDMyLklRX0NEU19NSUQuMjUvMDcvMjYBAAAAj1WjAQIAAAAHMzguMTk0NQBwl3OC2eveCJcTRLDZ694II0NJUS5JUVQ0NjIyNTM3NC5J</t>
  </si>
  <si>
    <t>UV9DRFNfTUlELjI1LzA3LzI2AQAAALXWBQACAAAABzM5LjU1NDQAkuZzgtnr3gjSUUWw2eveCCNDSVEuSVFUNDk3NTExOTYuSVFfQ0RTX01JRC4yMy8wNy8yNgEAAADNmb0AAgAAAAU0MC43NQBMNXOC2eveCDgMR7DZ694II0NJUS5JUVQ2MDM4OTUxNi5JUV9DRFNfTUlELjIzLzA3LzI2AQAAAKXwwwECAAAABjcuMjQyOQCAg3OC2eveCFKBR7DZ694IJENJUS5JUVQzMjM2ODAxMzAuSVFfQ0RTX01JRC4yMy8wNy8yNgEAAABx4QIAAgAAAAc1Mi4xMjAyAJLmc4LZ694I/9VHsNnr3ggkQ0lRLklRVDMxMzMxNTQyOS5JUV9DRFNfTUlELjIzLzA3LzI2AQAAADnnBQACAAAABzYyLjUwMzUA1u/sgdnr3giS/0ew2eveCCNDSVEuSVFUNDYyMDY3NzkuSVFfQ0RTX01JRC4xNC8wNy8yNgEAAAD87zYAAgAAAAQxNi41AH1cc4LZ694I4ytUsNnr3ggjQ0lRLklRVDQ2MjE4Njc0LklRX0NEU19NSUQuMTQvMDcvMjYBAAAAV8o2AAIAAAAIMTI0Ljg1OTIA575zgtnr3ghiVFSw2eveCCNDSVEuSVFUNDYyMjU3MTUuSVFfQ0RTX01JRC4xNC8wNy8yNgEAAAC35QQAAgAAAAc0My4xOTcxAJoNdILZ694IBeBUsNnr3ggjQ0lRLklRVDQ2MjA0ODg0LklRX0NEU19NSUQuMjcvMDQvMjYBAAAAgVHAAQIAAAAHMzEuMTYzMwBMNXOC2eveCBZ9VrDZ694II0NJUS5JUVQ0NjIwNzc4OS5JUV9DRFNfTUlELjI3LzA0LzI2AQAAACpYowEC</t>
  </si>
  <si>
    <t>AAAABzI3LjE1ODMAcJdzgtnr3ggDy1aw2eveCCRDSVEuSVFUMjg2MDk2MTMxLklRX0NEU19NSUQuMjcvMDQvMjYBAAAAO/EEAAIAAAAHNjkuODcyOQCS5nOC2eveCG8jV7DZ694II0NJUS5JUVQ0NjIxMDU2MC5JUV9DRFNfTUlELjIyLzA3LzI2AQAAAPYaNwACAAAABzg1Ljg3NDcATg5zgtnr3gi5Y0iw2eveCCNDSVEuSVFUNDYyMTk5MjIuSVFfQ0RTX01JRC4yMi8wNy8yNgEAAADWRzkBAgAAAAU2LjcwMwCAg3OC2eveCN4CSrDZ694II0NJUS5JUVQ0NjIyMzY0Ni5JUV9DRFNfTUlELjIyLzA3LzI2AQAAABt4BAACAAAABzQ5LjEzMzgA575zgtnr3ghlUUqw2eveCCRDSVEuSVFUMzEzMzE0OTc2LklRX0NEU19NSUQuMjIvMDcvMjYBAAAAbUoAAAIAAAAHNTguMTY2NgDW7+yB2eveCCPHSrDZ694II0NJUS5JUVQ0NjIxODUxNi5JUV9DRFNfTUlELjE3LzA3LzI2AQAAAKZVowECAAAABzM1LjQxNzIAfVxzgtnr3gitCFCw2eveCCNDSVEuSVFUNDYyMjA4MDMuSVFfQ0RTX01JRC4xNy8wNy8yNgEAAADWyTYAAgAAAAc0Mi41MDA1AOe+c4LZ694IrQhQsNnr3ggjQ0lRLklRVDQ2MjAwMzY0LklRX0NEU19NSUQuMTcvMDcvMjYBAAAAV4YIAAIAAAAFMjUuMTYAmg10gtnr3ghtzVCw2eveCCNDSVEuSVFUNDYyMDQzMDAuSVFfQ0RTX01JRC4xNS8wNy8yNgEAAAD2JX0AAgAAAAY3LjAxNzEATDVzgtnr3ghgqlKw2eve</t>
  </si>
  <si>
    <t>CCNDSVEuSVFUNjAzODgwNTcuSVFfQ0RTX01JRC4xNS8wNy8yNgEAAADfyX0BAwAAAAAAcJdzgtnr3ghJEFOw2eveCCNDSVEuSVFUNDYxOTk4NDEuSVFfQ0RTX01JRC4xNS8wNy8yNgEAAADrMAYAAwAAAAAAkuZzgtnr3gh8aFOw2eveCCRDSVEuSVFUMzEzMzEwMTg0LklRX0NEU19NSUQuMjcvMDcvMjUBAAAAYEQ+AAIAAAAHMTUuOTczMgBODnOC2eveCPxJTbDZ694II0NJUS5JUVQ0NjIxNDg3OS5JUV9DRFNfTUlELjI3LzA3LzI1AQAAAPUaNwACAAAABzY1LjYwOTkAgINzgtnr3gjNv02w2eveCCNDSVEuSVFUNDY0NzA4NzcuSVFfQ0RTX01JRC4yNy8wNy8yNQEAAABCNwcAAgAAAAc1NC41MjQyAOe+c4LZ694I4CROsNnr3ggkQ0lRLklRVDMxMzMxMDg1NC5JUV9DRFNfTUlELjI3LzA3LzI1AQAAAK9UDQACAAAABjM5LjE4OQDW7+yB2eveCLmITrDZ694II0NJUS5JUVQ0NjIxNDk1NC5JUV9DRFNfTUlELjIxLzA3LzI2AQAAADo9OQECAAAABDE0LjQAfVxzgtnr3ghAFUuw2eveCCNDSVEuSVFUNDYyMDg2MzQuSVFfQ0RTX01JRC4yMS8wNy8yNgEAAAADH8IAAgAAAAcyMi43MDgzAHCXc4LZ694I4XpLsNnr3ggjQ0lRLklRVDQ2MjI1MDgzLklRX0NEU19NSUQuMjEvMDcvMjYBAAAAVkQGAAIAAAAEMzYuNQCaDXSC2eveCK3SS7DZ694II0NJUS5JUVQ0NjIwMzcxNC5JUV9DRFNfTUlELjIwLzA3LzI2AQAAAF8F</t>
  </si>
  <si>
    <t>NQACAAAABTMxLjQ1AEw1c4LZ694IHdZOsNnr3ggjQ0lRLklRVDc5NjM5OTUzLklRX0NEU19NSUQuMjAvMDcvMjYBAAAANJtWAQIAAAAHMjQuOTI2MgBwl3OC2eveCHAjT7DZ694IJENJUS5JUVQ1Mjg5MzY4MTIuSVFfQ0RTX01JRC4yMC8wNy8yNgEAAABsWwYAAgAAAAc0Ny44NjAyAJLmc4LZ694IDKNPsNnr3ggjQ0lRLklRVDQ2MTk3MTM4LklRX0NEU19NSUQuMTkvMDcvMjYBAAAA7pQ4AQIAAAAIMTI1LjQ3MzIATg5zgtnr3giS/0ew2eveCCNDSVEuSVFUNTEwMjM0ODAuSVFfQ0RTX01JRC4xOS8wNy8yNgEAAADCRfEBAgAAAAY0Ljc2MjcAgINzgtnr3gi5Y0iw2eveCCNDSVEuSVFUNDYyMDQ5NTcuSVFfQ0RTX01JRC4xOS8wNy8yNgEAAAAhFQYAAgAAAAc1NS4yNjQxAOe+c4LZ694IuWNIsNnr3ggjQ0lRLklRVDQ2MjAzMzMyLklRX0NEU19NSUQuMTYvMDcvMjYBAAAAXx43AAIAAAAHMTEuMzkzOABMNXOC2eveCG3NULDZ694II0NJUS5JUVQ0NjIxNTExMS5JUV9DRFNfTUlELjE2LzA3LzI2AQAAAKBLsgECAAAABzM3LjA3MjkAcJdzgtnr3gh0v1Gw2eveCCNDSVEuSVFUNDYyMjYxMzIuSVFfQ0RTX01JRC4xNi8wNy8yNgEAAADdWQAAAgAAAAc0My4xNDIyAJLmc4LZ694IgQ1SsNnr3ggkQ0lRLklRVDMxMzMxMzUyNC5JUV9DRFNfTUlELjE2LzA3LzI2AQAAAO9VDQACAAAABzYwLjA2ODIA1u/sgdnr3ghO</t>
  </si>
  <si>
    <t>g1Kw2eveCCNDSVEuSVFUNzk2Mzk5MTMuSVFfQ0RTX01JRC4xMy8wNy8yNgEAAAAgYxwCAgAAAAY3LjkxMjcAgINzgtnr3ggffFWw2eveCCNDSVEuSVFUNDYyMDc4NzIuSVFfQ0RTX01JRC4xMy8wNy8yNgEAAABYDQoAAgAAAAc0MC4wNDY4AOe+c4LZ694IPspVsNnr3ggjQ0lRLklRVDQ2MjAwMzE3LklRX0NEU19NSUQuMTMvMDcvMjYBAAAA/lQNAAIAAAAHNjQuNTQ0NADMyOyB2eveCJ4tVrDZ694IJENJUS5JUVQ2NDQ3MDE3OTcuSVFfQ0RTX01JRC4yNy8wNy8yNgEAAABTP30BAgAAAAY5Ljc2MjgATDVzgtnr3gjLr1ew2eveCCNDSVEuSVFUNDYyMTY5ODYuSVFfQ0RTX01JRC4yNy8wNy8yNgEAAADORDgBAwAAAAAAcJdzgtnr3ggvJliw2eveCCRDSVEuSVFUMjU0OTU1MjMzLklRX0NEU19NSUQuMjcvMDcvMjYBAAAAOVYKAAIAAAAHNDMuNzA1MwCaDXSC2eveCKNzWLDZ694II0NJUS5JUVQ0NjE5NjIyNS5JUV9DRFNfTUlELjI0LzA3LzI2AQAAAL5VowECAAAABzE3LjU1MjQATDVzgtnr3gjSUUWw2eveCCNDSVEuSVFUNTEwMjMyNjAuSVFfQ0RTX01JRC4yNC8wNy8yNgEAAACxEX8BAgAAAAcxNC42ODE2AICDc4LZ694I0lFFsNnr3ggjQ0lRLklRVDQ2MjI0NzQwLklRX0NEU19NSUQuMjQvMDcvMjYBAAAA03IIAAIAAAAHMzYuNjM1NACS5nOC2eveCMqpRrDZ694IJENJUS5JUVQzMTMzMTczNDQuSVFfQ0RT</t>
  </si>
  <si>
    <t>X01JRC4yNC8wNy8yNgEAAADxrAEAAgAAAAc2MS4yOTI4ANbv7IHZ694IOAxHsNnr3ggjQ0lRLklRVDQ2MjAwMjc2LklRX0NEU19NSUQuMjYvMDcvMjYBAAAAlnd8AQIAAAAHMjkuMjU2MwB9XHOC2eveCL4kWbDZ694II0NJUS5JUVQ0NjE5NTQ5MS5JUV9DRFNfTUlELjI2LzA3LzI2AQAAAGlKAAACAAAABzU2LjQxNTkA575zgtnr3ghcdFmw2eveCCNDSVEuSVFUNzk2MzQ5MDEuSVFfQ0RTX01JRC4yNi8wNy8yNgEAAACcBhAAAgAAAAc0MS4yMTQ2AJoNdILZ694IycFZsNnr3ggjQ0lRLklRVDQ2MjA3NTcxLklRX0NEU19NSUQuMjUvMDcvMjYBAAAAbe81AAIAAAAEMzAuNQBMNXOC2eveCJcTRLDZ694II0NJUS5JUVQ0NjIxMzQ3Mi5JUV9DRFNfTUlELjI1LzA3LzI2AQAAALlaOAACAAAABjE1LjQxMgBwl3OC2eveCJcTRLDZ694IJENJUS5JUVQyNjMyMTMxMzIuSVFfQ0RTX01JRC4yNS8wNy8yNgEAAADhmggAAgAAAAc1Ni41MzkxAJoNdILZ694I0lFFsNnr3ggjQ0lRLklRVDQ2MTk0OTk1LklRX0NEU19NSUQuMjMvMDcvMjYBAAAAbhAxAAIAAAAGMTEuMTYyAEw1c4LZ694IOAxHsNnr3ggjQ0lRLklRVDQ2MjIyMjkyLklRX0NEU19NSUQuMjMvMDcvMjYBAAAA0ZGbAQIAAAAINzcwLjc4OTcAgINzgtnr3ghSgUew2eveCCNDSVEuSVFUNDYyMjUwMDYuSVFfQ0RTX01JRC4yMy8wNy8yNgEAAAD4VQ0AAgAAAAc0</t>
  </si>
  <si>
    <t>NC40OTg3AJLmc4LZ694I/9VHsNnr3ggjQ0lRLklRVDQ2MjIwMzI5LklRX0NEU19NSUQuMjMvMDcvMjYBAAAA21sAAAIAAAAHNTYuNjUzNgDW7+yB2eveCJL/R7DZ694II0NJUS5JUVQ0NjI2MjM3OC5JUV9DRFNfTUlELjE0LzA3LzI2AQAAAEDSiQECAAAABDE4LjYAfVxzgtnr3gjjK1Sw2eveCCNDSVEuSVFUNDYxOTc2OTQuSVFfQ0RTX01JRC4xNC8wNy8yNgEAAAAH+gUAAgAAAAc1Mi44MDE2AOe+c4LZ694IWpBUsNnr3ggjQ0lRLklRVDYyMjcwMTA3LklRX0NEU19NSUQuMTQvMDcvMjYBAAAAFVkAAAIAAAAHNDMuNjQzNACaDXSC2eveCAXgVLDZ694II0NJUS5JUVQ0NjIwNzMwOC5JUV9DRFNfTUlELjI3LzA0LzI2AQAAADmJegECAAAABTE1Ljc1AEw1c4LZ694IFn1WsNnr3ggjQ0lRLklRVDQ2MjI1Mzc0LklRX0NEU19NSUQuMjcvMDQvMjYBAAAAtdYFAAIAAAAHNDcuODU2NACaDXSC2eveCG8jV7DZ694IJENJUS5JUVQzMjM2ODAxMzAuSVFfQ0RTX01JRC4yMi8wNy8yNgEAAABx4QIAAgAAAAc1MS41MzkyAJLmc4LZ694IZVFKsNnr3ggjQ0lRLklRVDQ2MjE4NTE2LklRX0NEU19NSUQuMjEvMDcvMjYBAAAAplWjAQIAAAAHMzUuMjQ4MgB9XHOC2eveCEAVS7DZ694II0NJUS5JUVQ0NjIyMDgwMy5JUV9DRFNfTUlELjIxLzA3LzI2AQAAANbJNgACAAAABzQyLjYzMjYA575zgtnr3gjhekuw2eveCCRDSVEu</t>
  </si>
  <si>
    <t>SVFUMzEzMzEwMTg0LklRX0NEU19NSUQuMTkvMDcvMjYBAAAAYEQ+AAIAAAAHMTEuMDk4NwBODnOC2eveCH5hSLDZ694II0NJUS5JUVQ0NjIyNDc0MC5JUV9DRFNfTUlELjIyLzA3LzI2AQAAANNyCAACAAAAAjM2AJLmc4LZ694ILHlKsNnr3ggjQ0lRLklRVDQ2MTk1NDkxLklRX0NEU19NSUQuMTcvMDcvMjYBAAAAaUoAAAIAAAAHNTUuNjE3NgDnvnOC2eveCK0IULDZ694IJENJUS5JUVQyNjMyMTMxMzIuSVFfQ0RTX01JRC4xNS8wNy8yNgEAAADhmggAAgAAAAc1NS4xMjY3AJoNdILZ694IfGhTsNnr3ggjQ0lRLklRVDQ5NzUxMTk2LklRX0NEU19NSUQuMTMvMDcvMjYBAAAAzZm9AAIAAAAFNDEuNzUATDVzgtnr3ggCLlWw2eveCCNDSVEuSVFUNDYyMDc3ODkuSVFfQ0RTX01JRC4yNC8wNy8yNgEAAAAqWKMBAgAAAAcyNy4xMTIzAHCXc4LZ694I0lFFsNnr3ggjQ0lRLklRVDQ2MjIwODAzLklRX0NEU19NSUQuMjUvMDcvMjYBAAAA1sk2AAIAAAAHNDQuMzkwMwBwl3OC2eveCJcTRLDZ694II0NJUS5JUVQ0NjIxNDg3OS5JUV9DRFNfTUlELjE0LzA3LzI2AQAAAPUaNwACAAAABzUwLjUzNjYAgINzgtnr3gjjK1Sw2eveCCNDSVEuSVFUNDYyMDg2MzQuSVFfQ0RTX01JRC4yNy8wNC8yNgEAAAADH8IAAgAAAAcyOC44Mzc1AHCXc4LZ694IafhWsNnr3ggjQ0lRLklRVDc5NjM5OTUzLklRX0NEU19NSUQuMjIvMDcv</t>
  </si>
  <si>
    <t>MjYBAAAANJtWAQIAAAAHMjQuOTA5NQBwl3OC2eveCN4CSrDZ694II0NJUS5JUVQ1MTAyMzQ4MC5JUV9DRFNfTUlELjE3LzA3LzI2AQAAAMJF8QECAAAABjQuNzYyNwCAg3OC2eveCK0IULDZ694II0NJUS5JUVQ2MjI3MDEwNi5JUV9DRFNfTUlELjE3LzA3LzI2AQAAAK13gwACAAAABzc1LjIxODEA1u/sgdnr3ghtzVCw2eveCCRDSVEuSVFUMzEzMzA1ODc5LklRX0NEU19NSUQuMTUvMDcvMjYBAAAAhNbcAQIAAAAGMi4zMzM0AHCXc4LZ694ISRBTsNnr3ggjQ0lRLklRVDQ2MjAzMzMyLklRX0NEU19NSUQuMjcvMDcvMjUBAAAAXx43AAIAAAAHMTUuNDk1MgBMNXOC2eveCH5yTbDZ694II0NJUS5JUVQ1MTAyMzI2MC5JUV9DRFNfTUlELjE5LzA3LzI2AQAAALERfwECAAAABzE0LjA0NTgAgINzgtnr3gi5Y0iw2eveCCNDSVEuSVFUNDYyMDAyNzYuSVFfQ0RTX01JRC4xOC8wNy8yNgEAAACWd3wBAgAAAAcyOS41MTAzAH1cc4LZ694IRHBMsNnr3ggjQ0lRLklRVDUxMDIzMjYwLklRX0NEU19NSUQuMjYvMDcvMjYBAAAAsRF/AQIAAAAHMTQuNjgxNgCAg3OC2eveCI4nWbDZ694II0NJUS5JUVQ0NjIxOTkyMi5JUV9DRFNfTUlELjIxLzA3LzI2AQAAANZHOQECAAAABDcuMjUAgINzgtnr3ghQPEuw2eveCCNDSVEuSVFUNDYxOTk4NDEuSVFfQ0RTX01JRC4xOS8wNy8yNgEAAADrMAYAAwAAAAAAkuZzgtnr3gi5Y0iw</t>
  </si>
  <si>
    <t>2eveCCNDSVEuSVFUNDYyMDM3MTQuSVFfQ0RTX01JRC4xNi8wNy8yNgEAAABfBTUAAgAAAAUzMS4yNQBMNXOC2eveCG3NULDZ694II0NJUS5JUVQ3OTYzOTk1My5JUV9DRFNfTUlELjE2LzA3LzI2AQAAADSbVgECAAAABzI0Ljk5MDYAcJdzgtnr3gh0v1Gw2eveCCRDSVEuSVFUNTI4OTM2ODEyLklRX0NEU19NSUQuMTYvMDcvMjYBAAAAbFsGAAIAAAAHNDcuMjgyNwCS5nOC2eveCIENUrDZ694II0NJUS5JUVQ0NjE5NzEzOC5JUV9DRFNfTUlELjEzLzA3LzI2AQAAAO6UOAECAAAABzEyNC43MzIATg5zgtnr3gj7BlWw2eveCCNDSVEuSVFUNTEwMjM0ODAuSVFfQ0RTX01JRC4xMy8wNy8yNgEAAADCRfEBAgAAAAY0LjQ5NTgAgINzgtnr3ggffFWw2eveCCNDSVEuSVFUNDYyMDQ5NTcuSVFfQ0RTX01JRC4xMy8wNy8yNgEAAAAhFQYAAgAAAAc1NC4xMjYyAOe+c4LZ694IPspVsNnr3ggjQ0lRLklRVDYyMjcwMTA2LklRX0NEU19NSUQuMTMvMDcvMjYBAAAArXeDAAIAAAAHNzUuMjEzOADW7+yB2eveCJ4tVrDZ694II0NJUS5JUVQ3OTY0MDAyNC5JUV9DRFNfTUlELjI3LzA3LzI2AQAAADWPmwECAAAABjcuODMzMwBMNXOC2eveCMuvV7DZ694IJENJUS5JUVQzMTMzMDU4NzkuSVFfQ0RTX01JRC4yNy8wNy8yNgEAAACE1twBAgAAAAYyLjE1MjEAcJdzgtnr3ggvJliw2eveCCNDSVEuSVFUNDYyMDA0MTIuSVFfQ0RT</t>
  </si>
  <si>
    <t>X01JRC4yNy8wNy8yNgEAAABjQwYAAgAAAAc0Ni4zNDQ5AJoNdILZ694Io3NYsNnr3ggjQ0lRLklRVDQ2MjAzMzMyLklRX0NEU19NSUQuMjQvMDcvMjYBAAAAXx43AAIAAAAHMTAuODMzMwBMNXOC2eveCNJRRbDZ694II0NJUS5JUVQ0NjIxNTExMS5JUV9DRFNfTUlELjI0LzA3LzI2AQAAAKBLsgECAAAABzM4LjU0NjIAcJdzgtnr3gjSUUWw2eveCCNDSVEuSVFUNDYyMjYxMzIuSVFfQ0RTX01JRC4yNC8wNy8yNgEAAADdWQAAAgAAAAc0NS41Nzg0AJLmc4LZ694IyqlGsNnr3ggkQ0lRLklRVDMxMzMxMzUyNC5JUV9DRFNfTUlELjI0LzA3LzI2AQAAAO9VDQACAAAABjYwLjUyMgDW7+yB2eveCDgMR7DZ694II0NJUS5JUVQ3OTYzOTkxMy5JUV9DRFNfTUlELjI2LzA3LzI2AQAAACBjHAICAAAABjcuOTYyNwB9XHOC2eveCI4nWbDZ694II0NJUS5JUVQ0NjIwNzg3Mi5JUV9DRFNfTUlELjI2LzA3LzI2AQAAAFgNCgACAAAABzQxLjAwNTMA575zgtnr3ghcdFmw2eveCCNDSVEuSVFUNDYyMDAzMTcuSVFfQ0RTX01JRC4yNi8wNy8yNgEAAAD+VA0AAgAAAAc2Mi4zODQxAMzI7IHZ694IycFZsNnr3ggkQ0lRLklRVDY0NDcwMTc5Ny5JUV9DRFNfTUlELjI1LzA3LzI2AQAAAFM/fQECAAAABjkuNzYyOABMNXOC2eveCJcTRLDZ694II0NJUS5JUVQ0NjIxNjk4Ni5JUV9DRFNfTUlELjI1LzA3LzI2AQAAAM5EOAEDAAAA</t>
  </si>
  <si>
    <t>AABwl3OC2eveCJcTRLDZ694IJENJUS5JUVQyNTQ5NTUyMzMuSVFfQ0RTX01JRC4yNS8wNy8yNgEAAAA5VgoAAgAAAAc0My43MDUzAJoNdILZ694I0lFFsNnr3ggjQ0lRLklRVDQ2MTk2MjI1LklRX0NEU19NSUQuMjMvMDcvMjYBAAAAvlWjAQIAAAAGMTcuMzc1AEw1c4LZ694INjNHsNnr3ggjQ0lRLklRVDUxMDIzMjYwLklRX0NEU19NSUQuMjMvMDcvMjYBAAAAsRF/AQIAAAAGMTQuMzI0AICDc4LZ694IUoFHsNnr3ggjQ0lRLklRVDQ2MjI0NzQwLklRX0NEU19NSUQuMjMvMDcvMjYBAAAA03IIAAIAAAAHMzYuNDI3NwCS5nOC2eveCP/VR7DZ694IJENJUS5JUVQzMTMzMTczNDQuSVFfQ0RTX01JRC4yMy8wNy8yNgEAAADxrAEAAgAAAAc2MC45Nzg4ANbv7IHZ694Ikv9HsNnr3ggjQ0lRLklRVDQ2MjAwMjc2LklRX0NEU19NSUQuMTQvMDcvMjYBAAAAlnd8AQIAAAAHMjkuNDM5MgB9XHOC2eveCOMrVLDZ694II0NJUS5JUVQ0NjE5NTQ5MS5JUV9DRFNfTUlELjE0LzA3LzI2AQAAAGlKAAACAAAABjU0LjYwNADnvnOC2eveCKCTVLDZ694II0NJUS5JUVQ3OTYzNDkwMS5JUV9DRFNfTUlELjE0LzA3LzI2AQAAAJwGEAACAAAABjQxLjE0NQCaDXSC2eveCAXgVLDZ694II0NJUS5JUVQ0NjIwNzU3MS5JUV9DRFNfTUlELjI3LzA0LzI2AQAAAG3vNQACAAAABjMxLjMzNQBMNXOC2eveCBZ9VrDZ694II0NJUS5JUVQ0</t>
  </si>
  <si>
    <t>NjIxMzQ3Mi5JUV9DRFNfTUlELjI3LzA0LzI2AQAAALlaOAACAAAABzE2LjE4MjUAcJdzgtnr3ggDy1aw2eveCCRDSVEuSVFUMjYzMjEzMTMyLklRX0NEU19NSUQuMjcvMDQvMjYBAAAA4ZoIAAIAAAAFNjMuNDUAmg10gtnr3gioTFew2eveCCNDSVEuSVFUNDYxOTQ5OTUuSVFfQ0RTX01JRC4yMi8wNy8yNgEAAABuEDEAAgAAAAcxMS4wNTk4AEw1c4LZ694IuWNIsNnr3ggjQ0lRLklRVDQ2MjIyMjkyLklRX0NEU19NSUQuMjIvMDcvMjYBAAAA0ZGbAQIAAAAINzYyLjA5MjMAgINzgtnr3gjeAkqw2eveCCNDSVEuSVFUNDYyMjUwMDYuSVFfQ0RTX01JRC4yMi8wNy8yNgEAAAD4VQ0AAgAAAAc0My45NTk3AJLmc4LZ694IZVFKsNnr3ggjQ0lRLklRVDQ2MjIwMzI5LklRX0NEU19NSUQuMjIvMDcvMjYBAAAA21sAAAIAAAAHNTYuNjUzNgDW7+yB2eveCCPHSrDZ694II0NJUS5JUVQ0NjI2MjM3OC5JUV9DRFNfTUlELjE3LzA3LzI2AQAAAEDSiQECAAAABjE4LjM3NQB9XHOC2eveCK0IULDZ694II0NJUS5JUVQ0NjE5NzY5NC5JUV9DRFNfTUlELjE3LzA3LzI2AQAAAAf6BQACAAAABzUzLjY2OTIA575zgtnr3gitCFCw2eveCCNDSVEuSVFUNjIyNzAxMDcuSVFfQ0RTX01JRC4xNy8wNy8yNgEAAAAVWQAAAgAAAAc0MS4zMTI1AJoNdILZ694Ibc1QsNnr3ggjQ0lRLklRVDQ2MjA3MzA4LklRX0NEU19NSUQuMTUvMDcv</t>
  </si>
  <si>
    <t>MjYBAAAAOYl6AQIAAAAHMTQuNTYyNQBMNXOC2eveCGCqUrDZ694II0NJUS5JUVQ0NjIxMDAzMi5JUV9DRFNfTUlELjE1LzA3LzI2AQAAAI9VowECAAAABTM2LjkzAHCXc4LZ694ISRBTsNnr3ggjQ0lRLklRVDQ2MjI1Mzc0LklRX0NEU19NSUQuMTUvMDcvMjYBAAAAtdYFAAIAAAAHMzguNTAxNQCaDXSC2eveCHxoU7DZ694II0NJUS5JUVQ0OTc1MTE5Ni5JUV9DRFNfTUlELjI3LzA3LzI1AQAAAM2ZvQACAAAABjQwLjI0NwBMNXOC2eveCH5yTbDZ694II0NJUS5JUVQ2MDM4OTUxNi5JUV9DRFNfTUlELjI3LzA3LzI1AQAAAKXwwwECAAAAATgAgINzgtnr3gjNv02w2eveCCRDSVEuSVFUMzIzNjgwMTMwLklRX0NEU19NSUQuMjcvMDcvMjUBAAAAceECAAIAAAAHNDguNzI0MQCS5nOC2eveCOAkTrDZ694IJENJUS5JUVQzMTMzMTU0MjkuSVFfQ0RTX01JRC4yNy8wNy8yNQEAAAA55wUAAgAAAAc0MS40MzMzANbv7IHZ694IuYhOsNnr3ggjQ0lRLklRVDQ2MjA2Nzc5LklRX0NEU19NSUQuMjEvMDcvMjYBAAAA/O82AAIAAAAHMTYuMDYyNQB9XHOC2eveCEAVS7DZ694II0NJUS5JUVQ0NjIxODY3NC5JUV9DRFNfTUlELjIxLzA3LzI2AQAAAFfKNgACAAAACDEyOS42NDc3AOe+c4LZ694I4XpLsNnr3ggjQ0lRLklRVDQ2MjI1NzE1LklRX0NEU19NSUQuMjEvMDcvMjYBAAAAt+UEAAIAAAAHNDMuMzkzMQCaDXSC2eve</t>
  </si>
  <si>
    <t>CK3SS7DZ694II0NJUS5JUVQ0NjIwNDg4NC5JUV9DRFNfTUlELjIwLzA3LzI2AQAAAIFRwAECAAAABjI5LjYyNQBMNXOC2eveCB3WTrDZ694II0NJUS5JUVQ0NjIwNzc4OS5JUV9DRFNfTUlELjIwLzA3LzI2AQAAACpYowECAAAABjI2LjgzOABwl3OC2eveCHxKT7DZ694IJENJUS5JUVQyODYwOTYxMzEuSVFfQ0RTX01JRC4yMC8wNy8yNgEAAAA78QQAAgAAAAU2MC4yNQCS5nOC2eveCAyjT7DZ694II0NJUS5JUVQ0NjIxMDU2MC5JUV9DRFNfTUlELjE5LzA3LzI2AQAAAPYaNwACAAAABzg2Ljk1NDEATg5zgtnr3gi5Y0iw2eveCCNDSVEuSVFUNDYyMTk5MjIuSVFfQ0RTX01JRC4xOS8wNy8yNgEAAADWRzkBAgAAAAQ3LjI1AICDc4LZ694IuWNIsNnr3ggjQ0lRLklRVDQ2MjIzNjQ2LklRX0NEU19NSUQuMTkvMDcvMjYBAAAAG3gEAAIAAAAHNDkuNzY2NADnvnOC2eveCLljSLDZ694IJENJUS5JUVQzMTMzMTQ5NzYuSVFfQ0RTX01JRC4xOS8wNy8yNgEAAABtSgAAAgAAAAc1Ny44MzY0ANbv7IHZ694IuWNIsNnr3ggjQ0lRLklRVDQ2MjE4NTE2LklRX0NEU19NSUQuMTgvMDcvMjYBAAAAplWjAQIAAAAHMzUuNDE3MgB9XHOC2eveCERwTLDZ694II0NJUS5JUVQ0NjIyMDgwMy5JUV9DRFNfTUlELjE4LzA3LzI2AQAAANbJNgACAAAABzQyLjUwMDUA575zgtnr3gg3v0yw2eveCCNDSVEuSVFUNDYyMDAzNjQuSVFf</t>
  </si>
  <si>
    <t>Q0RTX01JRC4xOC8wNy8yNgEAAABXhggAAgAAAAUyNS4xNgCaDXSC2eveCP0iTbDZ694II0NJUS5JUVQ0NjE5NjIyNS5JUV9DRFNfTUlELjIyLzA3LzI2AQAAAL5VowECAAAABjE3LjM3NQBMNXOC2eveCLljSLDZ694II0NJUS5JUVQ1MTAyMzI2MC5JUV9DRFNfTUlELjIyLzA3LzI2AQAAALERfwECAAAABzE0LjE2MDcAgINzgtnr3gjeAkqw2eveCCNDSVEuSVFUNjAzODgwNTcuSVFfQ0RTX01JRC4xNi8wNy8yNgEAAADfyX0BAwAAAAAAcJdzgtnr3gh0v1Gw2eveCCNDSVEuSVFUNDYxOTk4NDEuSVFfQ0RTX01JRC4xNi8wNy8yNgEAAADrMAYAAwAAAAAAkuZzgtnr3giBDVKw2eveCCRDSVEuSVFUMzEzMzEwMTg0LklRX0NEU19NSUQuMTMvMDcvMjYBAAAAYEQ+AAIAAAAHMTEuMjAwOABODnOC2eveCPsGVbDZ694II0NJUS5JUVQ0NjIxNDg3OS5JUV9DRFNfTUlELjEzLzA3LzI2AQAAAPUaNwACAAAABjUwLjU1OACAg3OC2eveCB98VbDZ694II0NJUS5JUVQ0NjQ3MDg3Ny5JUV9DRFNfTUlELjEzLzA3LzI2AQAAAEI3BwACAAAABzU1Ljc2OTMA575zgtnr3gg+ylWw2eveCCRDSVEuSVFUMzEzMzEwODU0LklRX0NEU19NSUQuMTMvMDcvMjYBAAAAr1QNAAIAAAAENjEuNQDW7+yB2eveCJ4tVrDZ694II0NJUS5JUVQ0NjIxNDk1NC5JUV9DRFNfTUlELjI3LzA3LzI2AQAAADo9OQECAAAABjE0LjQyOQB9XHOC2eve</t>
  </si>
  <si>
    <t>CDDYV7DZ694II0NJUS5JUVQ0NjIwODYzNC5JUV9DRFNfTUlELjI3LzA3LzI2AQAAAAMfwgACAAAABzIzLjMyNTEAcJdzgtnr3ggvJliw2eveCCNDSVEuSVFUNDYyMjUwODMuSVFfQ0RTX01JRC4yNy8wNy8yNgEAAABWRAYAAgAAAAIzNwCaDXSC2eveCKNzWLDZ694II0NJUS5JUVQ0NjIwMzcxNC5JUV9DRFNfTUlELjI0LzA3LzI2AQAAAF8FNQACAAAABzMxLjc1NjMATDVzgtnr3gjSUUWw2eveCCNDSVEuSVFUNzk2Mzk5NTMuSVFfQ0RTX01JRC4yNC8wNy8yNgEAAAA0m1YBAgAAAAcyNC44ODcxAHCXc4LZ694I0lFFsNnr3ggkQ0lRLklRVDUyODkzNjgxMi5JUV9DRFNfTUlELjI0LzA3LzI2AQAAAGxbBgACAAAABzQ4LjI5OTcAkuZzgtnr3gjKqUaw2eveCCNDSVEuSVFUNDYxOTcxMzguSVFfQ0RTX01JRC4yNi8wNy8yNgEAAADulDgBAgAAAAcxMjQuMzU2AE4Oc4LZ694I78FYsNnr3ggjQ0lRLklRVDUxMDIzNDgwLklRX0NEU19NSUQuMjYvMDcvMjYBAAAAwkXxAQIAAAAGNC42ODg1AICDc4LZ694IjidZsNnr3ggjQ0lRLklRVDQ2MjA0OTU3LklRX0NEU19NSUQuMjYvMDcvMjYBAAAAIRUGAAIAAAAHNTUuODIzNwDnvnOC2eveCFx0WbDZ694II0NJUS5JUVQ2MjI3MDEwNi5JUV9DRFNfTUlELjI2LzA3LzI2AQAAAK13gwACAAAABzc1LjIxMDIAzMjsgdnr3gi+6Vmw2eveCCNDSVEuSVFUNzk2NDAwMjQuSVFf</t>
  </si>
  <si>
    <t>Q0RTX01JRC4yNS8wNy8yNgEAAAA1j5sBAgAAAAY3LjgzMzMATDVzgtnr3giXE0Sw2eveCCRDSVEuSVFUMzEzMzA1ODc5LklRX0NEU19NSUQuMjUvMDcvMjYBAAAAhNbcAQIAAAAGMi4xNTIxAHCXc4LZ694IlxNEsNnr3ggjQ0lRLklRVDQ2MjAwNDEyLklRX0NEU19NSUQuMjUvMDcvMjYBAAAAY0MGAAIAAAAHNDYuMzQ0OQCaDXSC2eveCNJRRbDZ694II0NJUS5JUVQ0NjIwMzMzMi5JUV9DRFNfTUlELjIzLzA3LzI2AQAAAF8eNwACAAAABzEwLjgzMzMATDVzgtnr3gg2M0ew2eveCCNDSVEuSVFUNDYyMTUxMTEuSVFfQ0RTX01JRC4yMy8wNy8yNgEAAACgS7IBAgAAAAczOC4xMjY5AHCXc4LZ694IUoFHsNnr3ggjQ0lRLklRVDQ2MjI2MTMyLklRX0NEU19NSUQuMjMvMDcvMjYBAAAA3VkAAAIAAAAHNDUuNDYyMgCS5nOC2eveCP/VR7DZ694IJENJUS5JUVQzMTMzMTM1MjQuSVFfQ0RTX01JRC4yMy8wNy8yNgEAAADvVQ0AAgAAAAc2MC41MTkyANbv7IHZ694Ikv9HsNnr3ggjQ0lRLklRVDc5NjM5OTEzLklRX0NEU19NSUQuMTQvMDcvMjYBAAAAIGMcAgIAAAABOAB9XHOC2eveCOMrVLDZ694II0NJUS5JUVQ0NjIwNzg3Mi5JUV9DRFNfTUlELjE0LzA3LzI2AQAAAFgNCgACAAAABzQwLjU4NDIA575zgtnr3gigk1Sw2eveCCNDSVEuSVFUNDYyMDAzMTcuSVFfQ0RTX01JRC4xNC8wNy8yNgEAAAD+VA0AAgAAAAc2</t>
  </si>
  <si>
    <t>NC4xMzEzAMzI7IHZ694IBeBUsNnr3ggkQ0lRLklRVDY0NDcwMTc5Ny5JUV9DRFNfTUlELjI3LzA0LzI2AQAAAFM/fQECAAAABjkuOTI5MwBMNXOC2eveCBZ9VrDZ694II0NJUS5JUVQ0NjIxNjk4Ni5JUV9DRFNfTUlELjI3LzA0LzI2AQAAAM5EOAEDAAAAAABwl3OC2eveCI31VrDZ694IJENJUS5JUVQyNTQ5NTUyMzMuSVFfQ0RTX01JRC4yNy8wNC8yNgEAAAA5VgoAAgAAAAc1NS4xNjUzAJoNdILZ694IqExXsNnr3ggjQ0lRLklRVDQ2MjA0ODg0LklRX0NEU19NSUQuMTYvMDcvMjYBAAAAgVHAAQIAAAAHMjkuMzMzMwBMNXOC2eveCG3NULDZ694II0NJUS5JUVQ0NjIwNzc4OS5JUV9DRFNfTUlELjE2LzA3LzI2AQAAACpYowECAAAABzI2LjQ4NTYAcJdzgtnr3gh0v1Gw2eveCCRDSVEuSVFUMjg2MDk2MTMxLklRX0NEU19NSUQuMTYvMDcvMjYBAAAAO/EEAAIAAAAHNTkuNzk5MgCS5nOC2eveCJ40UrDZ694II0NJUS5JUVQ0NjIxMDU2MC5JUV9DRFNfTUlELjEzLzA3LzI2AQAAAPYaNwACAAAABzg1Ljg0ODUATg5zgtnr3gj7BlWw2eveCCNDSVEuSVFUNDYyMTk5MjIuSVFfQ0RTX01JRC4xMy8wNy8yNgEAAADWRzkBAgAAAAY2LjgyOTMAgINzgtnr3ggffFWw2eveCCNDSVEuSVFUNDYyMjM2NDYuSVFfQ0RTX01JRC4xMy8wNy8yNgEAAAAbeAQAAgAAAAc0OS4yOTU5AOe+c4LZ694IPspVsNnr3ggkQ0lRLklR</t>
  </si>
  <si>
    <t>VDMxMzMxNDk3Ni5JUV9DRFNfTUlELjEzLzA3LzI2AQAAAG1KAAACAAAABDU2LjUA1u/sgdnr3gieLVaw2eveCCNDSVEuSVFUNDYyMTg1MTYuSVFfQ0RTX01JRC4yNy8wNy8yNgEAAACmVaMBAgAAAAYzNS4zNzgAfVxzgtnr3ggw2Few2eveCCNDSVEuSVFUNDYyMjA4MDMuSVFfQ0RTX01JRC4yNy8wNy8yNgEAAADWyTYAAgAAAAc0NC4zOTAzAHCXc4LZ694ILyZYsNnr3ggjQ0lRLklRVDQ2MjAwMzY0LklRX0NEU19NSUQuMjcvMDcvMjYBAAAAV4YIAAIAAAAHMjUuNTkyNACaDXSC2eveCKNzWLDZ694II0NJUS5JUVQ0NjIwNDMwMC5JUV9DRFNfTUlELjI0LzA3LzI2AQAAAPYlfQACAAAABjcuMDI2MQBMNXOC2eveCNJRRbDZ694II0NJUS5JUVQ2MDM4ODA1Ny5JUV9DRFNfTUlELjI0LzA3LzI2AQAAAN/JfQEDAAAAAABwl3OC2eveCNJRRbDZ694II0NJUS5JUVQ0NjE5OTg0MS5JUV9DRFNfTUlELjI0LzA3LzI2AQAAAOswBgADAAAAAACS5nOC2eveCMqpRrDZ694IJENJUS5JUVQzMTMzMTAxODQuSVFfQ0RTX01JRC4yNi8wNy8yNgEAAABgRD4AAgAAAAYxMS4wMzQATg5zgtnr3gjvwViw2eveCCNDSVEuSVFUNDYyMTQ4NzkuSVFfQ0RTX01JRC4yNi8wNy8yNgEAAAD1GjcAAgAAAAc1MC45MjIxAICDc4LZ694IjidZsNnr3ggjQ0lRLklRVDQ2NDcwODc3LklRX0NEU19NSUQuMjYvMDcvMjYBAAAAQjcHAAIAAAAH</t>
  </si>
  <si>
    <t>NTkuNDE4NgDnvnOC2eveCFx0WbDZ694IJENJUS5JUVQzMTMzMTA4NTQuSVFfQ0RTX01JRC4yNi8wNy8yNgEAAACvVA0AAgAAAAc2MS42NjY3ANbv7IHZ694IvulZsNnr3ggjQ0lRLklRVDQ2MjE0OTU0LklRX0NEU19NSUQuMjUvMDcvMjYBAAAAOj05AQIAAAAGMTQuNDI5AH1cc4LZ694IlxNEsNnr3ggjQ0lRLklRVDQ2MjA4NjM0LklRX0NEU19NSUQuMjUvMDcvMjYBAAAAAx/CAAIAAAAHMjMuMzI1MQBwl3OC2eveCJcTRLDZ694II0NJUS5JUVQ0NjIyNTA4My5JUV9DRFNfTUlELjI1LzA3LzI2AQAAAFZEBgACAAAAAjM3AJoNdILZ694I0lFFsNnr3ggjQ0lRLklRVDQ2MjAzNzE0LklRX0NEU19NSUQuMjMvMDcvMjYBAAAAXwU1AAIAAAAHMzEuNjEwNABMNXOC2eveCDYzR7DZ694II0NJUS5JUVQ3OTYzOTk1My5JUV9DRFNfTUlELjIzLzA3LzI2AQAAADSbVgECAAAABzI0LjkwNjMAcJdzgtnr3ghSgUew2eveCCRDSVEuSVFUNTI4OTM2ODEyLklRX0NEU19NSUQuMjMvMDcvMjYBAAAAbFsGAAIAAAAHNDguMDcxNACS5nOC2eveCB39R7DZ694II0NJUS5JUVQ0NjE5NzEzOC5JUV9DRFNfTUlELjE0LzA3LzI2AQAAAO6UOAECAAAACDEyMy42MTE4AE4Oc4LZ694IbrhTsNnr3ggjQ0lRLklRVDUxMDIzNDgwLklRX0NEU19NSUQuMTQvMDcvMjYBAAAAwkXxAQIAAAAGNC41MDY3AICDc4LZ694I4ytUsNnr3ggjQ0lR</t>
  </si>
  <si>
    <t>LklRVDQ2MjA0OTU3LklRX0NEU19NSUQuMTQvMDcvMjYBAAAAIRUGAAIAAAAHNTQuNDMxMgDnvnOC2eveCKCTVLDZ694II0NJUS5JUVQ2MjI3MDEwNi5JUV9DRFNfTUlELjE0LzA3LzI2AQAAAK13gwACAAAABzc0LjYzMTgA1u/sgdnr3ggF4FSw2eveCCNDSVEuSVFUNzk2NDAwMjQuSVFfQ0RTX01JRC4yNy8wNC8yNgEAAAA1j5sBAgAAAAQ4LjkyAH1cc4LZ694IFn1WsNnr3ggkQ0lRLklRVDMxMzMwNTg3OS5JUV9DRFNfTUlELjI3LzA0LzI2AQAAAITW3AECAAAABjIuMzMzNABwl3OC2eveCGn4VrDZ694II0NJUS5JUVQ0NjIwMDQxMi5JUV9DRFNfTUlELjI3LzA0LzI2AQAAAGNDBgACAAAABDU3LjcAmg10gtnr3gioTFew2eveCCNDSVEuSVFUNDYyMDMzMzIuSVFfQ0RTX01JRC4yMi8wNy8yNgEAAABfHjcAAgAAAAcxMS4xNjY3AEw1c4LZ694IuWNIsNnr3ggjQ0lRLklRVDQ2MjE1MTExLklRX0NEU19NSUQuMjIvMDcvMjYBAAAAoEuyAQIAAAAHMzcuNzQxNQBwl3OC2eveCN4CSrDZ694II0NJUS5JUVQ0NjIyNjEzMi5JUV9DRFNfTUlELjIyLzA3LzI2AQAAAN1ZAAACAAAABzQ0Ljc0ODYAkuZzgtnr3ggseUqw2eveCCRDSVEuSVFUMzEzMzEzNTI0LklRX0NEU19NSUQuMjIvMDcvMjYBAAAA71UNAAIAAAAHNjAuNDY4NwDW7+yB2eveCCPHSrDZ694II0NJUS5JUVQ3OTYzOTkxMy5JUV9DRFNfTUlELjE3LzA3</t>
  </si>
  <si>
    <t>LzI2AQAAACBjHAICAAAABTguMTI1AH1cc4LZ694IrQhQsNnr3ggjQ0lRLklRVDQ2MjA3ODcyLklRX0NEU19NSUQuMTcvMDcvMjYBAAAAWA0KAAIAAAAHNDAuODAzMgDnvnOC2eveCK0IULDZ694II0NJUS5JUVQ0NjIwMDMxNy5JUV9DRFNfTUlELjE3LzA3LzI2AQAAAP5UDQACAAAABzYzLjY1MzMAzMjsgdnr3ghtzVCw2eveCCRDSVEuSVFUNjQ0NzAxNzk3LklRX0NEU19NSUQuMTUvMDcvMjYBAAAAUz99AQIAAAAHMTAuNjIzOABMNXOC2eveCGCqUrDZ694II0NJUS5JUVQ0NjIxNjk4Ni5JUV9DRFNfTUlELjE1LzA3LzI2AQAAAM5EOAEDAAAAAABwl3OC2eveCEkQU7DZ694IJENJUS5JUVQyNTQ5NTUyMzMuSVFfQ0RTX01JRC4xNS8wNy8yNgEAAAA5VgoAAgAAAAY0My4xMjUAmg10gtnr3gi2kFOw2eveCCNDSVEuSVFUNDYxOTYyMjUuSVFfQ0RTX01JRC4yNy8wNy8yNQEAAAC+VaMBAgAAAAcyMi42NjY3AEw1c4LZ694IfnJNsNnr3ggjQ0lRLklRVDUxMDIzMjYwLklRX0NEU19NSUQuMjcvMDcvMjUBAAAAsRF/AQIAAAAHMTAuNjgyNwBwl3OC2eveCM2/TbDZ694II0NJUS5JUVQ0NjIyNDc0MC5JUV9DRFNfTUlELjI3LzA3LzI1AQAAANNyCAACAAAABzM3LjgzODMAkuZzgtnr3gjgJE6w2eveCCRDSVEuSVFUMzEzMzE3MzQ0LklRX0NEU19NSUQuMjcvMDcvMjUBAAAA8awBAAIAAAAHMzcuODIxOQDW7+yB2eve</t>
  </si>
  <si>
    <t>CLmITrDZ694II0NJUS5JUVQ0NjIwMDI3Ni5JUV9DRFNfTUlELjIxLzA3LzI2AQAAAJZ3fAECAAAABzI5LjM0OTMAfVxzgtnr3ghAFUuw2eveCCNDSVEuSVFUNDYxOTU0OTEuSVFfQ0RTX01JRC4yMS8wNy8yNgEAAABpSgAAAgAAAAc1NS4zNzE0AOe+c4LZ694I4XpLsNnr3ggjQ0lRLklRVDc5NjM0OTAxLklRX0NEU19NSUQuMjEvMDcvMjYBAAAAnAYQAAIAAAAHNDEuMDA4NACaDXSC2eveCK3SS7DZ694II0NJUS5JUVQ0NjIwNzU3MS5JUV9DRFNfTUlELjIwLzA3LzI2AQAAAG3vNQACAAAABDMwLjMATDVzgtnr3ggd1k6w2eveCCNDSVEuSVFUNDYyMTM0NzIuSVFfQ0RTX01JRC4yMC8wNy8yNgEAAAC5WjgAAgAAAAYxNS4wMjMAcJdzgtnr3gh8Sk+w2eveCCRDSVEuSVFUMjYzMjEzMTMyLklRX0NEU19NSUQuMjAvMDcvMjYBAAAA4ZoIAAIAAAAHNTUuNjg4OACaDXSC2eveCAyjT7DZ694II0NJUS5JUVQ0NjE5NDk5NS5JUV9DRFNfTUlELjE5LzA3LzI2AQAAAG4QMQACAAAABTEwLjk4AEw1c4LZ694IuWNIsNnr3ggjQ0lRLklRVDQ2MjIyMjkyLklRX0NEU19NSUQuMTkvMDcvMjYBAAAA0ZGbAQIAAAAINzYwLjgxNDgAgINzgtnr3gi5Y0iw2eveCCNDSVEuSVFUNDYyMjUwMDYuSVFfQ0RTX01JRC4xOS8wNy8yNgEAAAD4VQ0AAgAAAAc0My41NDg4AJLmc4LZ694IuWNIsNnr3ggjQ0lRLklRVDQ2MjIwMzI5LklR</t>
  </si>
  <si>
    <t>X0NEU19NSUQuMTkvMDcvMjYBAAAA21sAAAIAAAACNTYA1u/sgdnr3gi5Y0iw2eveCCNDSVEuSVFUNDYyNjIzNzguSVFfQ0RTX01JRC4xOC8wNy8yNgEAAABA0okBAgAAAAYxOC4zNzUAfVxzgtnr3ghEcEyw2eveCCNDSVEuSVFUNDYxOTc2OTQuSVFfQ0RTX01JRC4xOC8wNy8yNgEAAAAH+gUAAgAAAAc1My42NjkyAOe+c4LZ694IN79MsNnr3ggjQ0lRLklRVDYyMjcwMTA3LklRX0NEU19NSUQuMTgvMDcvMjYBAAAAFVkAAAIAAAAHNDEuMzEyNQCaDXSC2eveCP0iTbDZ694II0NJUS5JUVQ0NjIwNzMwOC5JUV9DRFNfTUlELjE2LzA3LzI2AQAAADmJegECAAAABzE0LjQzNzUATDVzgtnr3ghtzVCw2eveCCRDSVEuSVFUMzEzMzE0OTc2LklRX0NEU19NSUQuMjYvMDcvMjYBAAAAbUoAAAIAAAAHNTguMTY1MQDW7+yB2eveCL7pWbDZ694IJENJUS5JUVQzMTMzMTAxODQuSVFfQ0RTX01JRC4xNC8wNy8yNgEAAABgRD4AAgAAAAcxMS4yMTAxAE4Oc4LZ694I1t5TsNnr3ggjQ0lRLklRVDQ2MjAzNzE0LklRX0NEU19NSUQuMjIvMDcvMjYBAAAAXwU1AAIAAAAFMzEuNDEATDVzgtnr3gi5Y0iw2eveCCNDSVEuSVFUNDYyMDA0MTIuSVFfQ0RTX01JRC4xNS8wNy8yNgEAAABjQwYAAgAAAAc0Ni4xNTA4AJoNdILZ694ItpBTsNnr3ggjQ0lRLklRVDQ2MjA3NTcxLklRX0NEU19NSUQuMTYvMDcvMjYBAAAAbe81AAIAAAAC</t>
  </si>
  <si>
    <t>MzAATDVzgtnr3ghtzVCw2eveCCNDSVEuSVFUNDYyMTM0NzIuSVFfQ0RTX01JRC4xNi8wNy8yNgEAAAC5WjgAAgAAAAcxNS4wNjI1AHCXc4LZ694IdL9RsNnr3ggkQ0lRLklRVDI2MzIxMzEzMi5JUV9DRFNfTUlELjE2LzA3LzI2AQAAAOGaCAACAAAABzU1LjA5ODcAmg10gtnr3gieNFKw2eveCCNDSVEuSVFUNDYxOTQ5OTUuSVFfQ0RTX01JRC4xMy8wNy8yNgEAAABuEDEAAgAAAAcxMC45OTk4AEw1c4LZ694IAi5VsNnr3ggjQ0lRLklRVDQ2MjIyMjkyLklRX0NEU19NSUQuMTMvMDcvMjYBAAAA0ZGbAQIAAAAINzYwLjQ0NzMAgINzgtnr3ggffFWw2eveCCNDSVEuSVFUNDYyMjUwMDYuSVFfQ0RTX01JRC4xMy8wNy8yNgEAAAD4VQ0AAgAAAAc0MS43MDgyAJLmc4LZ694IVPFVsNnr3ggjQ0lRLklRVDQ2MjIwMzI5LklRX0NEU19NSUQuMTMvMDcvMjYBAAAA21sAAAIAAAAENTYuNQDW7+yB2eveCJ4tVrDZ694II0NJUS5JUVQ0NjI2MjM3OC5JUV9DRFNfTUlELjI3LzA3LzI2AQAAAEDSiQECAAAAAjE4AH1cc4LZ694IMNhXsNnr3ggjQ0lRLklRVDQ2MTk3Njk0LklRX0NEU19NSUQuMjcvMDcvMjYBAAAAB/oFAAIAAAAHNTMuOTg2OADnvnOC2eveCC8mWLDZ694II0NJUS5JUVQ2MjI3MDEwNy5JUV9DRFNfTUlELjI3LzA3LzI2AQAAABVZAAACAAAABzQyLjQxMTUAmg10gtnr3ghem1iw2eveCCNDSVEuSVFUNDYy</t>
  </si>
  <si>
    <t>MDczMDguSVFfQ0RTX01JRC4yNC8wNy8yNgEAAAA5iXoBAgAAAAcxNC41NjI1AEw1c4LZ694I0lFFsNnr3ggjQ0lRLklRVDQ2MjEwMDMyLklRX0NEU19NSUQuMjQvMDcvMjYBAAAAj1WjAQIAAAAHMzguMTk0NQBwl3OC2eveCNJRRbDZ694II0NJUS5JUVQ0NjIyNTM3NC5JUV9DRFNfTUlELjI0LzA3LzI2AQAAALXWBQACAAAABzM5LjU1NDQAkuZzgtnr3gjKqUaw2eveCCNDSVEuSVFUNDk3NTExOTYuSVFfQ0RTX01JRC4yNi8wNy8yNgEAAADNmb0AAgAAAAc0MC41NzA2AE4Oc4LZ694I78FYsNnr3ggjQ0lRLklRVDYwMzg5NTE2LklRX0NEU19NSUQuMjYvMDcvMjYBAAAApfDDAQIAAAAGNy4yNDcxAICDc4LZ694IjidZsNnr3ggkQ0lRLklRVDMyMzY4MDEzMC5JUV9DRFNfTUlELjI2LzA3LzI2AQAAAHHhAgACAAAABzUyLjQ5MzgAkuZzgtnr3gg5nFmw2eveCCRDSVEuSVFUMzEzMzE1NDI5LklRX0NEU19NSUQuMjYvMDcvMjYBAAAAOecFAAIAAAAHNjIuNTA2NwDW7+yB2eveCL7pWbDZ694II0NJUS5JUVQ0NjIwNjc3OS5JUV9DRFNfTUlELjI1LzA3LzI2AQAAAPzvNgACAAAABzE2LjQ3MjYAfVxzgtnr3giXE0Sw2eveCCNDSVEuSVFUNDYyMTg2NzQuSVFfQ0RTX01JRC4yNS8wNy8yNgEAAABXyjYAAgAAAAgxMzQuNDEzMgDnvnOC2eveCJcTRLDZ694II0NJUS5JUVQ0NjIyNTcxNS5JUV9DRFNfTUlELjI1LzA3</t>
  </si>
  <si>
    <t>LzI2AQAAALflBAACAAAABzQzLjQ2MTUAmg10gtnr3gjSUUWw2eveCCNDSVEuSVFUNDYyMDQ4ODQuSVFfQ0RTX01JRC4yMy8wNy8yNgEAAACBUcABAgAAAAUyOS43NQBMNXOC2eveCDYzR7DZ694II0NJUS5JUVQ0NjIwNzc4OS5JUV9DRFNfTUlELjIzLzA3LzI2AQAAACpYowECAAAABzI2LjkxMzUAcJdzgtnr3ghSgUew2eveCCRDSVEuSVFUMjg2MDk2MTMxLklRX0NEU19NSUQuMjMvMDcvMjYBAAAAO/EEAAIAAAAHNjAuNzk1MQCS5nOC2eveCJL/R7DZ694II0NJUS5JUVQ0NjIxMDU2MC5JUV9DRFNfTUlELjE0LzA3LzI2AQAAAPYaNwACAAAABzg1LjQ0MzUATg5zgtnr3gjW3lOw2eveCCNDSVEuSVFUNDYyMTk5MjIuSVFfQ0RTX01JRC4xNC8wNy8yNgEAAADWRzkBAgAAAAQ3LjI1AICDc4LZ694I4ytUsNnr3ggjQ0lRLklRVDQ2MjIzNjQ2LklRX0NEU19NSUQuMTQvMDcvMjYBAAAAG3gEAAIAAAAHNDkuODUwMgDnvnOC2eveCKCTVLDZ694IJENJUS5JUVQzMTMzMTQ5NzYuSVFfQ0RTX01JRC4xNC8wNy8yNgEAAABtSgAAAgAAAAQ1Ni41ANbv7IHZ694I+wZVsNnr3ggjQ0lRLklRVDQ2MjE4NTE2LklRX0NEU19NSUQuMjcvMDQvMjYBAAAAplWjAQIAAAAHMzguNTU2MwB9XHOC2eveCPijVrDZ694II0NJUS5JUVQ0NjIyMDgwMy5JUV9DRFNfTUlELjI3LzA0LzI2AQAAANbJNgACAAAABzUyLjA0NzQA575zgtnr</t>
  </si>
  <si>
    <t>3ghp+Faw2eveCCNDSVEuSVFUNDYyMDAzNjQuSVFfQ0RTX01JRC4yNy8wNC8yNgEAAABXhggAAgAAAAQyOS41AJoNdILZ694IqExXsNnr3ggjQ0lRLklRVDQ2MjA0MzAwLklRX0NEU19NSUQuMjIvMDcvMjYBAAAA9iV9AAIAAAAGNy4wMjEyAEw1c4LZ694IuWNIsNnr3ggjQ0lRLklRVDYwMzg4MDU3LklRX0NEU19NSUQuMjIvMDcvMjYBAAAA38l9AQMAAAAAAHCXc4LZ694ISipKsNnr3ggjQ0lRLklRVDQ2MTk5ODQxLklRX0NEU19NSUQuMjIvMDcvMjYBAAAA6zAGAAMAAAAAAJLmc4LZ694ILHlKsNnr3ggkQ0lRLklRVDMxMzMxMDE4NC5JUV9DRFNfTUlELjE3LzA3LzI2AQAAAGBEPgACAAAABzExLjA5ODcATg5zgtnr3gitCFCw2eveCCNDSVEuSVFUNDYyMTQ4NzkuSVFfQ0RTX01JRC4xNy8wNy8yNgEAAAD1GjcAAgAAAAc1MC45MTM0AICDc4LZ694IrQhQsNnr3ggjQ0lRLklRVDQ2NDcwODc3LklRX0NEU19NSUQuMTcvMDcvMjYBAAAAQjcHAAIAAAAGNTguMzE0AOe+c4LZ694IrQhQsNnr3ggkQ0lRLklRVDMxMzMxMDg1NC5JUV9DRFNfTUlELjE3LzA3LzI2AQAAAK9UDQACAAAABzYxLjE2NjcA1u/sgdnr3ghtzVCw2eveCCNDSVEuSVFUNDYyMTQ5NTQuSVFfQ0RTX01JRC4xNS8wNy8yNgEAAAA6PTkBAgAAAAcxNC4zMTI1AH1cc4LZ694IbNFSsNnr3ggjQ0lRLklRVDQ2MjA4NjM0LklRX0NEU19NSUQuMTUv</t>
  </si>
  <si>
    <t>MDcvMjYBAAAAAx/CAAIAAAAHMjIuNjU2MwBwl3OC2eveCEkQU7DZ694II0NJUS5JUVQ0NjIyNTA4My5JUV9DRFNfTUlELjE1LzA3LzI2AQAAAFZEBgACAAAABDM3LjUAmg10gtnr3gi2kFOw2eveCCNDSVEuSVFUNDYyMDM3MTQuSVFfQ0RTX01JRC4yNy8wNy8yNQEAAABfBTUAAgAAAAczMi4xNzgxAEw1c4LZ694IfnJNsNnr3ggjQ0lRLklRVDc5NjM5OTUzLklRX0NEU19NSUQuMjcvMDcvMjUBAAAANJtWAQIAAAAHMzMuNTY3OABwl3OC2eveCDvnTbDZ694IJENJUS5JUVQ1Mjg5MzY4MTIuSVFfQ0RTX01JRC4yNy8wNy8yNQEAAABsWwYAAgAAAAI0NwCS5nOC2eveCFBLTrDZ694II0NJUS5JUVQ0NjE5NzEzOC5JUV9DRFNfTUlELjIxLzA3LzI2AQAAAO6UOAECAAAACDEyMi4zNzc5AE4Oc4LZ694II8dKsNnr3ggjQ0lRLklRVDUxMDIzNDgwLklRX0NEU19NSUQuMjEvMDcvMjYBAAAAwkXxAQIAAAAGNC42ODQ2AICDc4LZ694IUDxLsNnr3ggjQ0lRLklRVDQ2MjA0OTU3LklRX0NEU19NSUQuMjEvMDcvMjYBAAAAIRUGAAIAAAAENTUuMgDnvnOC2eveCLegS7DZ694II0NJUS5JUVQ2MjI3MDEwNi5JUV9DRFNfTUlELjIxLzA3LzI2AQAAAK13gwACAAAABzc1LjIwOTkA1u/sgdnr3gj4+0uw2eveCCNDSVEuSVFUNzk2NDAwMjQuSVFfQ0RTX01JRC4yMC8wNy8yNgEAAAA1j5sBAgAAAAY3LjgzMzMAfVxzgtnr3gh6</t>
  </si>
  <si>
    <t>/E6w2eveCCRDSVEuSVFUMzEzMzA1ODc5LklRX0NEU19NSUQuMjAvMDcvMjYBAAAAhNbcAQIAAAAGMi4zMzM0AHCXc4LZ694IfEpPsNnr3ggjQ0lRLklRVDQ2MjAwNDEyLklRX0NEU19NSUQuMjAvMDcvMjYBAAAAY0MGAAIAAAAGNDUuMzc1AJoNdILZ694IDKNPsNnr3ggjQ0lRLklRVDQ2MjAzMzMyLklRX0NEU19NSUQuMTkvMDcvMjYBAAAAXx43AAIAAAAHMTEuMTY2NwBMNXOC2eveCLljSLDZ694II0NJUS5JUVQ0NjIxNTExMS5JUV9DRFNfTUlELjE5LzA3LzI2AQAAAKBLsgECAAAABzM3LjY5MTUAcJdzgtnr3gi5Y0iw2eveCCNDSVEuSVFUNDYyMjYxMzIuSVFfQ0RTX01JRC4xOS8wNy8yNgEAAADdWQAAAgAAAAc0My44ODExAJLmc4LZ694IuWNIsNnr3ggkQ0lRLklRVDMxMzMxMzUyNC5JUV9DRFNfTUlELjE5LzA3LzI2AQAAAO9VDQACAAAABzYwLjAwNjYA1u/sgdnr3gi5Y0iw2eveCCNDSVEuSVFUNzk2Mzk5MTMuSVFfQ0RTX01JRC4xOC8wNy8yNgEAAAAgYxwCAgAAAAU4LjEyNQB9XHOC2eveCERwTLDZ694II0NJUS5JUVQ0NjIwNzg3Mi5JUV9DRFNfTUlELjE4LzA3LzI2AQAAAFgNCgACAAAABzQwLjgwMzIA575zgtnr3gg3v0yw2eveCCNDSVEuSVFUNDYyMDAzMTcuSVFfQ0RTX01JRC4xOC8wNy8yNgEAAAD+VA0AAgAAAAc2My42NTMzAMzI7IHZ694I/SJNsNnr3ggkQ0lRLklRVDY0NDcwMTc5Ny5J</t>
  </si>
  <si>
    <t>UV9DRFNfTUlELjE2LzA3LzI2AQAAAFM/fQECAAAABzEwLjM0MTQATDVzgtnr3ghtzVCw2eveCCNDSVEuSVFUNDYyMTY5ODYuSVFfQ0RTX01JRC4xNi8wNy8yNgEAAADORDgBAwAAAAAAcJdzgtnr3gh0v1Gw2eveCCRDSVEuSVFUMjU0OTU1MjMzLklRX0NEU19NSUQuMTYvMDcvMjYBAAAAOVYKAAIAAAACNDMAmg10gtnr3gieNFKw2eveCCNDSVEuSVFUNDYxOTYyMjUuSVFfQ0RTX01JRC4xMy8wNy8yNgEAAAC+VaMBAgAAAAcxNy4zMzMzAEw1c4LZ694IAi5VsNnr3ggjQ0lRLklRVDUxMDIzMjYwLklRX0NEU19NSUQuMTMvMDcvMjYBAAAAsRF/AQIAAAAHMTMuOTA3MgCAg3OC2eveCB98VbDZ694II0NJUS5JUVQ0NjIyNDc0MC5JUV9DRFNfTUlELjEzLzA3LzI2AQAAANNyCAACAAAABjMzLjcyNQCS5nOC2eveCFTxVbDZ694IJENJUS5JUVQzMTMzMTczNDQuSVFfQ0RTX01JRC4xMy8wNy8yNgEAAADxrAEAAgAAAAc2MC41MDIzANbv7IHZ694ImFZWsNnr3ggjQ0lRLklRVDQ2MjAwMjc2LklRX0NEU19NSUQuMjcvMDcvMjYBAAAAlnd8AQIAAAAHMjkuMjU2MwB9XHOC2eveCDDYV7DZ694II0NJUS5JUVQ0NjE5NTQ5MS5JUV9DRFNfTUlELjI3LzA3LzI2AQAAAGlKAAACAAAABzU2LjQxNTkA575zgtnr3ggvJliw2eveCCNDSVEuSVFUNzk2MzQ5MDEuSVFfQ0RTX01JRC4yNy8wNy8yNgEAAACcBhAAAgAAAAc0MS4y</t>
  </si>
  <si>
    <t>MTQ2AJoNdILZ694IXptYsNnr3ggjQ0lRLklRVDQ2MjA3NTcxLklRX0NEU19NSUQuMjQvMDcvMjYBAAAAbe81AAIAAAAEMzAuNQBMNXOC2eveCNJRRbDZ694II0NJUS5JUVQ0NjIxMzQ3Mi5JUV9DRFNfTUlELjI0LzA3LzI2AQAAALlaOAACAAAABjE1LjQxMgBwl3OC2eveCNJRRbDZ694IJENJUS5JUVQyNjMyMTMxMzIuSVFfQ0RTX01JRC4yNC8wNy8yNgEAAADhmggAAgAAAAc1Ni41MzkxAJoNdILZ694IyqlGsNnr3ggjQ0lRLklRVDQ2MTk0OTk1LklRX0NEU19NSUQuMjYvMDcvMjYBAAAAbhAxAAIAAAAHMTEuMTgyNABMNXOC2eveCO/BWLDZ694II0NJUS5JUVQ0NjIyMjI5Mi5JUV9DRFNfTUlELjI2LzA3LzI2AQAAANGRmwECAAAACDc3Ny4xNjI0AICDc4LZ694IjidZsNnr3ggjQ0lRLklRVDQ2MjI1MDA2LklRX0NEU19NSUQuMjYvMDcvMjYBAAAA+FUNAAIAAAAGNDQuNzEyAJLmc4LZ694IOZxZsNnr3ggjQ0lRLklRVDQ2MjIwMzI5LklRX0NEU19NSUQuMjYvMDcvMjYBAAAA21sAAAIAAAAGNTYuNjc0ANbv7IHZ694IvulZsNnr3ggjQ0lRLklRVDQ2MjYyMzc4LklRX0NEU19NSUQuMjUvMDcvMjYBAAAAQNKJAQIAAAACMTgAfVxzgtnr3giXE0Sw2eveCCNDSVEuSVFUNDYxOTc2OTQuSVFfQ0RTX01JRC4yNS8wNy8yNgEAAAAH+gUAAgAAAAc1My45ODY4AOe+c4LZ694IlxNEsNnr3ggjQ0lRLklRVDYyMjcw</t>
  </si>
  <si>
    <t>MTA3LklRX0NEU19NSUQuMjUvMDcvMjYBAAAAFVkAAAIAAAAHNDIuNDExNQCaDXSC2eveCNJRRbDZ694II0NJUS5JUVQ0NjIwNzMwOC5JUV9DRFNfTUlELjIzLzA3LzI2AQAAADmJegECAAAABzE0LjU2MjUATDVzgtnr3gg2M0ew2eveCCNDSVEuSVFUNDYyMTAwMzIuSVFfQ0RTX01JRC4yMy8wNy8yNgEAAACPVaMBAgAAAAczNy42MjIyAHCXc4LZ694IYahHsNnr3ggjQ0lRLklRVDQ2MjI1Mzc0LklRX0NEU19NSUQuMjMvMDcvMjYBAAAAtdYFAAIAAAAHMzkuMzM4MgCS5nOC2eveCJL/R7DZ694II0NJUS5JUVQ0OTc1MTE5Ni5JUV9DRFNfTUlELjE0LzA3LzI2AQAAAM2ZvQACAAAABTQxLjc1AEw1c4LZ694I1t5TsNnr3ggjQ0lRLklRVDYwMzg5NTE2LklRX0NEU19NSUQuMTQvMDcvMjYBAAAApfDDAQIAAAAGNy4yNDkxAICDc4LZ694I4ytUsNnr3ggkQ0lRLklRVDMyMzY4MDEzMC5JUV9DRFNfTUlELjE0LzA3LzI2AQAAAHHhAgACAAAABzUyLjQ5NTMAkuZzgtnr3gigk1Sw2eveCCRDSVEuSVFUMzEzMzE1NDI5LklRX0NEU19NSUQuMTQvMDcvMjYBAAAAOecFAAIAAAAHNjIuNTAxMwDW7+yB2eveCPsGVbDZ694II0NJUS5JUVQ0NjIwNjc3OS5JUV9DRFNfTUlELjI3LzA0LzI2AQAAAPzvNgACAAAABzE2LjQyMjUAfVxzgtnr3gj4o1aw2eveCCNDSVEuSVFUNDYyMTg2NzQuSVFfQ0RTX01JRC4yNy8wNC8yNgEA</t>
  </si>
  <si>
    <t>AABXyjYAAgAAAAgxNTQuNTkwOADnvnOC2eveCGn4VrDZ694II0NJUS5JUVQ0NjIyNTcxNS5JUV9DRFNfTUlELjI3LzA0LzI2AQAAALflBAACAAAABzQyLjgyNzIAmg10gtnr3gioTFew2eveCCNDSVEuSVFUNDYyMDQ4ODQuSVFfQ0RTX01JRC4yMi8wNy8yNgEAAACBUcABAgAAAAQyOS41AEw1c4LZ694IuWNIsNnr3ggjQ0lRLklRVDQ2MjA3Nzg5LklRX0NEU19NSUQuMjIvMDcvMjYBAAAAKlijAQIAAAAHMjYuOTE5NwBwl3OC2eveCEoqSrDZ694IJENJUS5JUVQyODYwOTYxMzEuSVFfQ0RTX01JRC4yMi8wNy8yNgEAAAA78QQAAgAAAAc1OS42NjM3AJLmc4LZ694ILHlKsNnr3ggjQ0lRLklRVDQ2MjEwNTYwLklRX0NEU19NSUQuMTcvMDcvMjYBAAAA9ho3AAIAAAAHODYuOTU0MQBODnOC2eveCK0IULDZ694II0NJUS5JUVQ0NjIxOTkyMi5JUV9DRFNfTUlELjE3LzA3LzI2AQAAANZHOQECAAAABDcuMjUAgINzgtnr3gitCFCw2eveCCNDSVEuSVFUNDYyMjM2NDYuSVFfQ0RTX01JRC4xNy8wNy8yNgEAAAAbeAQAAgAAAAc0OS43NjY0AOe+c4LZ694IrQhQsNnr3ggkQ0lRLklRVDMxMzMxNDk3Ni5JUV9DRFNfTUlELjE3LzA3LzI2AQAAAG1KAAACAAAABzU3LjgzNjQA1u/sgdnr3ghtzVCw2eveCCNDSVEuSVFUNDYyMTg1MTYuSVFfQ0RTX01JRC4xNS8wNy8yNgEAAACmVaMBAgAAAAczNS42NDc3AH1cc4LZ694I</t>
  </si>
  <si>
    <t>bNFSsNnr3ggjQ0lRLklRVDQ2MjIwODAzLklRX0NEU19NSUQuMTUvMDcvMjYBAAAA1sk2AAIAAAAHNDEuODE1NwDnvnOC2eveCKc1U7DZ694II0NJUS5JUVQ0NjIwMDM2NC5JUV9DRFNfTUlELjE1LzA3LzI2AQAAAFeGCAACAAAABTI0Ljg2AJoNdILZ694ItpBTsNnr3ggjQ0lRLklRVDQ2MjA0MzAwLklRX0NEU19NSUQuMjcvMDcvMjUBAAAA9iV9AAIAAAAGOC4zMzMzAEw1c4LZ694IfnJNsNnr3ggjQ0lRLklRVDYwMzg4MDU3LklRX0NEU19NSUQuMjcvMDcvMjUBAAAA38l9AQIAAAAHNDYuNDg2NQBwl3OC2eveCDvnTbDZ694II0NJUS5JUVQ0NjE5OTg0MS5JUV9DRFNfTUlELjI3LzA3LzI1AQAAAOswBgADAAAAAACS5nOC2eveCFBLTrDZ694IJENJUS5JUVQzMTMzMTAxODQuSVFfQ0RTX01JRC4yMS8wNy8yNgEAAABgRD4AAgAAAAcxMC45OTU3AE4Oc4LZ694II8dKsNnr3ggjQ0lRLklRVDQ2MjE0ODc5LklRX0NEU19NSUQuMjEvMDcvMjYBAAAA9Ro3AAIAAAAHNTAuOTQwNwCAg3OC2eveCFA8S7DZ694II0NJUS5JUVQ0NjQ3MDg3Ny5JUV9DRFNfTUlELjIxLzA3LzI2AQAAAEI3BwACAAAABzU3LjkzMDUA575zgtnr3givpEuw2eveCCRDSVEuSVFUMzEzMzEwODU0LklRX0NEU19NSUQuMjEvMDcvMjYBAAAAr1QNAAIAAAAHNjEuMTY2NwDW7+yB2eveCPj7S7DZ694II0NJUS5JUVQ0NjIxNDk1NC5JUV9DRFNf</t>
  </si>
  <si>
    <t>TUlELjIwLzA3LzI2AQAAADo9OQECAAAABDE0LjQAfVxzgtnr3gh6/E6w2eveCCNDSVEuSVFUNDYyMDg2MzQuSVFfQ0RTX01JRC4yMC8wNy8yNgEAAAADH8IAAgAAAAcyMi43MTg4AHCXc4LZ694IfEpPsNnr3ggjQ0lRLklRVDQ2MjI1MDgzLklRX0NEU19NSUQuMjAvMDcvMjYBAAAAVkQGAAIAAAAFMzYuNzUAmg10gtnr3ggMo0+w2eveCCNDSVEuSVFUNDYyMDM3MTQuSVFfQ0RTX01JRC4xOS8wNy8yNgEAAABfBTUAAgAAAAUzMS40NQBMNXOC2eveCLljSLDZ694II0NJUS5JUVQ3OTYzOTk1My5JUV9DRFNfTUlELjE5LzA3LzI2AQAAADSbVgECAAAABzI0Ljk0MjgAcJdzgtnr3gi5Y0iw2eveCCRDSVEuSVFUNTI4OTM2ODEyLklRX0NEU19NSUQuMTkvMDcvMjYBAAAAbFsGAAIAAAAHNDcuOTU5NACS5nOC2eveCLljSLDZ694II0NJUS5JUVQ0NjE5NzEzOC5JUV9DRFNfTUlELjE4LzA3LzI2AQAAAO6UOAECAAAACDEyNS40NzMyAE4Oc4LZ694IxSJMsNnr3ggjQ0lRLklRVDUxMDIzNDgwLklRX0NEU19NSUQuMTgvMDcvMjYBAAAAwkXxAQIAAAAGNC43NjI3AICDc4LZ694IRHBMsNnr3ggjQ0lRLklRVDQ2MjA0OTU3LklRX0NEU19NSUQuMTgvMDcvMjYBAAAAIRUGAAIAAAAHNTUuMjY0MQDnvnOC2eveCDe/TLDZ694II0NJUS5JUVQ0NjIxNTExMS5JUV9DRFNfTUlELjEzLzA3LzI2AQAAAKBLsgECAAAABzM3LjM5</t>
  </si>
  <si>
    <t>ODkAcJdzgtnr3ggffFWw2eveCCNDSVEuSVFUNDYyMjU3MTUuSVFfQ0RTX01JRC4xNS8wNy8yNgEAAAC35QQAAgAAAAY0My4zMzIAmg10gtnr3gi2kFOw2eveCCNDSVEuSVFUNjAzODgwNTcuSVFfQ0RTX01JRC4xOS8wNy8yNgEAAADfyX0BAwAAAAAAcJdzgtnr3gi5Y0iw2eveCCNDSVEuSVFUNzk2NDAwMjQuSVFfQ0RTX01JRC4xNi8wNy8yNgEAAAA1j5sBAgAAAAY3Ljg5NjcAfVxzgtnr3ghtzVCw2eveCCRDSVEuSVFUMzEzMzA1ODc5LklRX0NEU19NSUQuMTYvMDcvMjYBAAAAhNbcAQIAAAAGMi4zMzM0AHCXc4LZ694InuZRsNnr3ggjQ0lRLklRVDQ2MjAwNDEyLklRX0NEU19NSUQuMTYvMDcvMjYBAAAAY0MGAAIAAAAHNDUuMzU1NQCaDXSC2eveCJ40UrDZ694II0NJUS5JUVQ0NjIwMzMzMi5JUV9DRFNfTUlELjEzLzA3LzI2AQAAAF8eNwACAAAABzExLjM3NTQATDVzgtnr3ggCLlWw2eveCCRDSVEuSVFUMzEzMzEzNTI0LklRX0NEU19NSUQuMTMvMDcvMjYBAAAA71UNAAIAAAAHNjAuNDgwMQDW7+yB2eveCJhWVrDZ694IJENJUS5JUVQ2NDQ3MDE3OTcuSVFfQ0RTX01JRC4yNC8wNy8yNgEAAABTP30BAgAAAAY5Ljc2MjgATDVzgtnr3gjSUUWw2eveCCNDSVEuSVFUNDYyMTY5ODYuSVFfQ0RTX01JRC4yNC8wNy8yNgEAAADORDgBAwAAAAAAcJdzgtnr3gjSUUWw2eveCCRDSVEuSVFUMjU0OTU1MjMzLklR</t>
  </si>
  <si>
    <t>X0NEU19NSUQuMjQvMDcvMjYBAAAAOVYKAAIAAAAHNDMuNzA1MwCaDXSC2eveCMqpRrDZ694IJENJUS5JUVQzMTMzMTczNDQuSVFfQ0RTX01JRC4yNi8wNy8yNgEAAADxrAEAAgAAAAc2MS4yOTI4ANbv7IHZ694IvulZsNnr3ggjQ0lRLklRVDc5NjM0OTAxLklRX0NEU19NSUQuMjUvMDcvMjYBAAAAnAYQAAIAAAAHNDEuMjE0NgCaDXSC2eveCNJRRbDZ694IJENJUS5JUVQzMTMzMTQ5NzYuSVFfQ0RTX01JRC4yMS8wNy8yNgEAAABtSgAAAgAAAAc1Ny44MzQxANbv7IHZ694I+PtLsNnr3ggjQ0lRLklRVDQ2MjE0OTU0LklRX0NEU19NSUQuMTYvMDcvMjYBAAAAOj05AQIAAAAGMTQuMzc1AH1cc4LZ694Ibc1QsNnr3ggjQ0lRLklRVDQ2MjA4NjM0LklRX0NEU19NSUQuMTYvMDcvMjYBAAAAAx/CAAIAAAAHMjIuNDE4MwBwl3OC2eveCJ7mUbDZ694II0NJUS5JUVQ0NjIyNTA4My5JUV9DRFNfTUlELjE2LzA3LzI2AQAAAFZEBgACAAAABDM3LjEAmg10gtnr3gieNFKw2eveCCNDSVEuSVFUNDYyMDM3MTQuSVFfQ0RTX01JRC4xMy8wNy8yNgEAAABfBTUAAgAAAAczMC44NTgxAEw1c4LZ694IAi5VsNnr3ggjQ0lRLklRVDc5NjM5OTUzLklRX0NEU19NSUQuMTMvMDcvMjYBAAAANJtWAQIAAAAGMjQuODc4AHCXc4LZ694ILKNVsNnr3ggkQ0lRLklRVDUyODkzNjgxMi5JUV9DRFNfTUlELjEzLzA3LzI2AQAAAGxbBgAC</t>
  </si>
  <si>
    <t>AAAABzQ2Ljg2NDMAkuZzgtnr3ghU8VWw2eveCCNDSVEuSVFUNDYxOTcxMzguSVFfQ0RTX01JRC4yNy8wNy8yNgEAAADulDgBAgAAAAcxMjQuMzU2AE4Oc4LZ694Ih3NXsNnr3ggjQ0lRLklRVDUxMDIzNDgwLklRX0NEU19NSUQuMjcvMDcvMjYBAAAAwkXxAQIAAAAGNC42ODg1AICDc4LZ694IMNhXsNnr3ggjQ0lRLklRVDQ2MjA0OTU3LklRX0NEU19NSUQuMjcvMDcvMjYBAAAAIRUGAAIAAAAHNTUuODIzNwDnvnOC2eveCD5NWLDZ694II0NJUS5JUVQ2MjI3MDEwNi5JUV9DRFNfTUlELjI3LzA3LzI2AQAAAK13gwACAAAABzc1LjIxMDIAzMjsgdnr3ghem1iw2eveCCNDSVEuSVFUNzk2NDAwMjQuSVFfQ0RTX01JRC4yNC8wNy8yNgEAAAA1j5sBAgAAAAY3LjgzMzMAfVxzgtnr3gjSUUWw2eveCCRDSVEuSVFUMzEzMzA1ODc5LklRX0NEU19NSUQuMjQvMDcvMjYBAAAAhNbcAQIAAAAGMi4xNTIxAHCXc4LZ694I0lFFsNnr3ggjQ0lRLklRVDQ2MjAwNDEyLklRX0NEU19NSUQuMjQvMDcvMjYBAAAAY0MGAAIAAAAHNDYuMzQ0OQCaDXSC2eveCMqpRrDZ694II0NJUS5JUVQ0NjIwMzMzMi5JUV9DRFNfTUlELjI2LzA3LzI2AQAAAF8eNwACAAAABzEwLjgzMzMATDVzgtnr3gj66Fiw2eveCCNDSVEuSVFUNDYyMTUxMTEuSVFfQ0RTX01JRC4yNi8wNy8yNgEAAACgS7IBAgAAAAczOC41NDYyAHCXc4LZ694IjidZsNnr</t>
  </si>
  <si>
    <t>3ggjQ0lRLklRVDQ2MjI2MTMyLklRX0NEU19NSUQuMjYvMDcvMjYBAAAA3VkAAAIAAAAHNDUuNTc4NACS5nOC2eveCDmcWbDZ694IJENJUS5JUVQzMTMzMTM1MjQuSVFfQ0RTX01JRC4yNi8wNy8yNgEAAADvVQ0AAgAAAAY2MC41MjIA1u/sgdnr3gi+6Vmw2eveCCNDSVEuSVFUNzk2Mzk5MTMuSVFfQ0RTX01JRC4yNS8wNy8yNgEAAAAgYxwCAgAAAAY3Ljk2MjcAfVxzgtnr3giXE0Sw2eveCCNDSVEuSVFUNDYyMDc4NzIuSVFfQ0RTX01JRC4yNS8wNy8yNgEAAABYDQoAAgAAAAc0MS4wMDUzAOe+c4LZ694IlxNEsNnr3ggjQ0lRLklRVDQ2MjAwMzE3LklRX0NEU19NSUQuMjUvMDcvMjYBAAAA/lQNAAIAAAAHNjIuMzg0MQDMyOyB2eveCNJRRbDZ694IJENJUS5JUVQ2NDQ3MDE3OTcuSVFfQ0RTX01JRC4yMy8wNy8yNgEAAABTP30BAgAAAAcxMC4yOTM4AEw1c4LZ694INjNHsNnr3ggjQ0lRLklRVDQ2MjE2OTg2LklRX0NEU19NSUQuMjMvMDcvMjYBAAAAzkQ4AQMAAAAAAHCXc4LZ694IYahHsNnr3ggkQ0lRLklRVDI1NDk1NTIzMy5JUV9DRFNfTUlELjIzLzA3LzI2AQAAADlWCgACAAAABzQzLjU4MjIAmg10gtnr3giS/0ew2eveCCNDSVEuSVFUNDYxOTYyMjUuSVFfQ0RTX01JRC4xNC8wNy8yNgEAAAC+VaMBAgAAAAYxNy4zNzUATDVzgtnr3gjW3lOw2eveCCNDSVEuSVFUNTEwMjMyNjAuSVFfQ0RTX01JRC4x</t>
  </si>
  <si>
    <t>NC8wNy8yNgEAAACxEX8BAgAAAAIxNACAg3OC2eveCGJUVLDZ694II0NJUS5JUVQ0NjIyNDc0MC5JUV9DRFNfTUlELjE0LzA3LzI2AQAAANNyCAACAAAABDM0LjEAkuZzgtnr3gigk1Sw2eveCCRDSVEuSVFUMzEzMzE3MzQ0LklRX0NEU19NSUQuMTQvMDcvMjYBAAAA8awBAAIAAAAGNjAuNTA2ANbv7IHZ694I+wZVsNnr3ggjQ0lRLklRVDQ2MjAwMjc2LklRX0NEU19NSUQuMjcvMDQvMjYBAAAAlnd8AQIAAAAHMjkuNDY2NQB9XHOC2eveCPijVrDZ694II0NJUS5JUVQ0NjE5NTQ5MS5JUV9DRFNfTUlELjI3LzA0LzI2AQAAAGlKAAACAAAABjU4Ljg3NQDnvnOC2eveCGn4VrDZ694II0NJUS5JUVQ3OTYzNDkwMS5JUV9DRFNfTUlELjI3LzA0LzI2AQAAAJwGEAACAAAABzQ2LjAyMzEAzMjsgdnr3gioTFew2eveCCNDSVEuSVFUNDYyMDc1NzEuSVFfQ0RTX01JRC4yMi8wNy8yNgEAAABt7zUAAgAAAAUzMC4zNQBMNXOC2eveCLljSLDZ694II0NJUS5JUVQ0NjIxMzQ3Mi5JUV9DRFNfTUlELjIyLzA3LzI2AQAAALlaOAACAAAABjE1LjAzNABwl3OC2eveCEoqSrDZ694IJENJUS5JUVQyNjMyMTMxMzIuSVFfQ0RTX01JRC4yMi8wNy8yNgEAAADhmggAAgAAAAc1NS4yOTY1AJoNdILZ694ILHlKsNnr3ggjQ0lRLklRVDQ2MTk0OTk1LklRX0NEU19NSUQuMTcvMDcvMjYBAAAAbhAxAAIAAAAFMTAuOTgATDVzgtnr3git</t>
  </si>
  <si>
    <t>CFCw2eveCCNDSVEuSVFUNDYyMjIyOTIuSVFfQ0RTX01JRC4xNy8wNy8yNgEAAADRkZsBAgAAAAg3NjAuODE0OACAg3OC2eveCK0IULDZ694II0NJUS5JUVQ0NjIyNTAwNi5JUV9DRFNfTUlELjE3LzA3LzI2AQAAAPhVDQACAAAABzQzLjU0ODgAkuZzgtnr3ghtzVCw2eveCCNDSVEuSVFUNDYyMjAzMjkuSVFfQ0RTX01JRC4xNy8wNy8yNgEAAADbWwAAAgAAAAI1NgDW7+yB2eveCG3NULDZ694II0NJUS5JUVQ0NjI2MjM3OC5JUV9DRFNfTUlELjE1LzA3LzI2AQAAAEDSiQECAAAABzE4LjU0OTcAfVxzgtnr3ghs0VKw2eveCCNDSVEuSVFUNDYxOTc2OTQuSVFfQ0RTX01JRC4xNS8wNy8yNgEAAAAH+gUAAgAAAAc1Mi45MzQ2AOe+c4LZ694IJjpTsNnr3ggjQ0lRLklRVDYyMjcwMTA3LklRX0NEU19NSUQuMTUvMDcvMjYBAAAAFVkAAAIAAAAHNDEuODE3OACaDXSC2eveCLaQU7DZ694II0NJUS5JUVQ0NjIwNzMwOC5JUV9DRFNfTUlELjI3LzA3LzI1AQAAADmJegECAAAABzE3LjY2NjcATDVzgtnr3gjNmE2w2eveCCNDSVEuSVFUNDYyMTAwMzIuSVFfQ0RTX01JRC4yNy8wNy8yNQEAAACPVaMBAgAAAAQ0MC40AHCXc4LZ694IO+dNsNnr3ggjQ0lRLklRVDQ2MjI1Mzc0LklRX0NEU19NSUQuMjcvMDcvMjUBAAAAtdYFAAIAAAAHNDcuNzYyNQCaDXSC2eveCFBLTrDZ694II0NJUS5JUVQ0OTc1MTE5Ni5JUV9DRFNf</t>
  </si>
  <si>
    <t>TUlELjIxLzA3LzI2AQAAAM2ZvQACAAAABzQxLjMzMzMATDVzgtnr3ggy7kqw2eveCCNDSVEuSVFUNjAzODk1MTYuSVFfQ0RTX01JRC4yMS8wNy8yNgEAAACl8MMBAgAAAAY3LjI0MjgAgINzgtnr3ghQPEuw2eveCCRDSVEuSVFUMzIzNjgwMTMwLklRX0NEU19NSUQuMjEvMDcvMjYBAAAAceECAAIAAAAHNTIuMDExNgCS5nOC2eveCK+kS7DZ694IJENJUS5JUVQzMTMzMTU0MjkuSVFfQ0RTX01JRC4yMS8wNy8yNgEAAAA55wUAAgAAAAY2MS44MzcA1u/sgdnr3gj4+0uw2eveCCNDSVEuSVFUNDYyMDY3NzkuSVFfQ0RTX01JRC4yMC8wNy8yNgEAAAD87zYAAgAAAAQxNi41AH1cc4LZ694IevxOsNnr3ggjQ0lRLklRVDQ2MjE4Njc0LklRX0NEU19NSUQuMjAvMDcvMjYBAAAAV8o2AAIAAAAIMTMwLjEwOTkA575zgtnr3gh8Sk+w2eveCCNDSVEuSVFUNDYyMjU3MTUuSVFfQ0RTX01JRC4yMC8wNy8yNgEAAAC35QQAAgAAAAc0My4zMTU0AJoNdILZ694IDKNPsNnr3ggjQ0lRLklRVDQ2MjA0ODg0LklRX0NEU19NSUQuMTkvMDcvMjYBAAAAgVHAAQIAAAAGMjkuNjI1AEw1c4LZ694IuWNIsNnr3ggjQ0lRLklRVDQ2MjA3Nzg5LklRX0NEU19NSUQuMTkvMDcvMjYBAAAAKlijAQIAAAAHMjYuNjg3OQBwl3OC2eveCLljSLDZ694IJENJUS5JUVQyODYwOTYxMzEuSVFfQ0RTX01JRC4xOS8wNy8yNgEAAAA78QQAAgAAAAc2</t>
  </si>
  <si>
    <t>MC42NjY3AJLmc4LZ694IuWNIsNnr3ggjQ0lRLklRVDQ2MjEwNTYwLklRX0NEU19NSUQuMTgvMDcvMjYBAAAA9ho3AAIAAAAHODYuOTU0MQBODnOC2eveCMUiTLDZ694II0NJUS5JUVQ0NjIxOTkyMi5JUV9DRFNfTUlELjE4LzA3LzI2AQAAANZHOQECAAAABDcuMjUAgINzgtnr3ghEcEyw2eveCCNDSVEuSVFUNDYyMjM2NDYuSVFfQ0RTX01JRC4xOC8wNy8yNgEAAAAbeAQAAgAAAAc0OS43NjY0AOe+c4LZ694IN79MsNnr3ggkQ0lRLklRVDMxMzMxNDk3Ni5JUV9DRFNfTUlELjE4LzA3LzI2AQAAAG1KAAACAAAABzU3LjgzNjQA1u/sgdnr3gj8SU2w2eveCCNDSVEuSVFUNDYyMDAyNzYuSVFfQ0RTX01JRC4xNS8wNy8yNgEAAACWd3wBAgAAAAcyOS43NDg1AH1cc4LZ694IbNFSsNnr3ggjQ0lRLklRVDQ2MTk1NDkxLklRX0NEU19NSUQuMTUvMDcvMjYBAAAAaUoAAAIAAAAFNTQuOTkA575zgtnr3ggmOlOw2eveCCNDSVEuSVFUNzk2MzQ5MDEuSVFfQ0RTX01JRC4xNS8wNy8yNgEAAACcBhAAAgAAAAc0MS4wODkyAJoNdILZ694ItpBTsNnr3ggjQ0lRLklRVDQ2MjA3NTcxLklRX0NEU19NSUQuMjcvMDcvMjUBAAAAbe81AAIAAAAHMzkuNjUxNQBMNXOC2eveCM2YTbDZ694II0NJUS5JUVQ0NjIxMzQ3Mi5JUV9DRFNfTUlELjI3LzA3LzI1AQAAALlaOAACAAAABzEzLjgzNTUAcJdzgtnr3giM/E2w2eveCCRDSVEu</t>
  </si>
  <si>
    <t>SVFUMjYzMjEzMTMyLklRX0NEU19NSUQuMjcvMDcvMjUBAAAA4ZoIAAIAAAAHNTUuMzYyOQCaDXSC2eveCFBLTrDZ694II0NJUS5JUVQ0NjE5NDk5NS5JUV9DRFNfTUlELjIxLzA3LzI2AQAAAG4QMQACAAAABjExLjA0OQBMNXOC2eveCDLuSrDZ694II0NJUS5JUVQ0NjIyMjI5Mi5JUV9DRFNfTUlELjIxLzA3LzI2AQAAANGRmwECAAAACDc2MS41Mjk0AICDc4LZ694IUDxLsNnr3ggjQ0lRLklRVDQ2MjI1MDA2LklRX0NEU19NSUQuMjEvMDcvMjYBAAAA+FUNAAIAAAAHNDMuOTU5NgCS5nOC2eveCK+kS7DZ694II0NJUS5JUVQ0NjIyMDMyOS5JUV9DRFNfTUlELjIxLzA3LzI2AQAAANtbAAACAAAABzU2LjMxNTYA1u/sgdnr3gj4+0uw2eveCCNDSVEuSVFUNDYyNjIzNzguSVFfQ0RTX01JRC4yMC8wNy8yNgEAAABA0okBAgAAAAYxOC4xMjUAfVxzgtnr3gh6/E6w2eveCCNDSVEuSVFUNDYxOTc2OTQuSVFfQ0RTX01JRC4yMC8wNy8yNgEAAAAH+gUAAgAAAAY1My4xNDgA575zgtnr3giGcU+w2eveCCNDSVEuSVFUNjIyNzAxMDcuSVFfQ0RTX01JRC4yMC8wNy8yNgEAAAAVWQAAAgAAAAc0MS42NTc3AJoNdILZ694IDKNPsNnr3ggjQ0lRLklRVDQ2MjA3MzA4LklRX0NEU19NSUQuMTkvMDcvMjYBAAAAOYl6AQIAAAAHMTQuNTYyNQBMNXOC2eveCLljSLDZ694II0NJUS5JUVQ0NjIxMDAzMi5JUV9DRFNfTUlELjE5</t>
  </si>
  <si>
    <t>LzA3LzI2AQAAAI9VowECAAAABzM3LjMwNTEAcJdzgtnr3gi5Y0iw2eveCCNDSVEuSVFUNDYyMjUzNzQuSVFfQ0RTX01JRC4xOS8wNy8yNgEAAAC11gUAAgAAAAczOS4wMzY3AJLmc4LZ694IuWNIsNnr3ggjQ0lRLklRVDQ5NzUxMTk2LklRX0NEU19NSUQuMTgvMDcvMjYBAAAAzZm9AAIAAAAHNDEuODMzMwBMNXOC2eveCMUiTLDZ694II0NJUS5JUVQ2MDM4OTUxNi5JUV9DRFNfTUlELjE4LzA3LzI2AQAAAKXwwwECAAAABjcuMjQ3NwCAg3OC2eveCERwTLDZ694IJENJUS5JUVQzMjM2ODAxMzAuSVFfQ0RTX01JRC4xOC8wNy8yNgEAAABx4QIAAgAAAAc1MS40NDc4AJLmc4LZ694IN79MsNnr3ggkQ0lRLklRVDMxMzMxNTQyOS5JUV9DRFNfTUlELjE4LzA3LzI2AQAAADnnBQACAAAABzYyLjEyODYA1u/sgdnr3gj8SU2w2eveCCNDSVEuSVFUNDYyMTg1MTYuSVFfQ0RTX01JRC4yMC8wNy8yNgEAAACmVaMBAgAAAAczNS45MDYzAH1cc4LZ694IevxOsNnr3ggkQ0lRLklRVDMxMzMxMDg1NC5JUV9DRFNfTUlELjE4LzA3LzI2AQAAAK9UDQACAAAABzYxLjE2NjcA1u/sgdnr3gj8SU2w2eveCCNDSVEuSVFUNDYyMTg1MTYuSVFfQ0RTX01JRC4xNi8wNy8yNgEAAACmVaMBAgAAAAczNi4wNTQ1AH1cc4LZ694Ibc1QsNnr3ggjQ0lRLklRVDQ2MjIwODAzLklRX0NEU19NSUQuMTYvMDcvMjYBAAAA1sk2AAIAAAAHNDEu</t>
  </si>
  <si>
    <t>ODEyNQDnvnOC2eveCJ7mUbDZ694II0NJUS5JUVQ0NjIwMDM2NC5JUV9DRFNfTUlELjE2LzA3LzI2AQAAAFeGCAACAAAAAjI1AJoNdILZ694InjRSsNnr3ggjQ0lRLklRVDQ2MjA0MzAwLklRX0NEU19NSUQuMTMvMDcvMjYBAAAA9iV9AAIAAAAGNy4wMDA1AEw1c4LZ694IAi5VsNnr3ggjQ0lRLklRVDYwMzg4MDU3LklRX0NEU19NSUQuMTMvMDcvMjYBAAAA38l9AQMAAAAAAHCXc4LZ694ILKNVsNnr3ggjQ0lRLklRVDQ2MTk5ODQxLklRX0NEU19NSUQuMTMvMDcvMjYBAAAA6zAGAAMAAAAAAJLmc4LZ694IVPFVsNnr3ggkQ0lRLklRVDMxMzMxMDE4NC5JUV9DRFNfTUlELjI3LzA3LzI2AQAAAGBEPgACAAAABjExLjAzNABODnOC2eveCJKaV7DZ694II0NJUS5JUVQ0NjIxNDg3OS5JUV9DRFNfTUlELjI3LzA3LzI2AQAAAPUaNwACAAAABzUwLjkyMjEAgINzgtnr3ggw2Few2eveCCNDSVEuSVFUNDY0NzA4NzcuSVFfQ0RTX01JRC4yNy8wNy8yNgEAAABCNwcAAgAAAAc1OS40MTg2AOe+c4LZ694IPk1YsNnr3ggkQ0lRLklRVDMxMzMxMDg1NC5JUV9DRFNfTUlELjI3LzA3LzI2AQAAAK9UDQACAAAABzYxLjY2NjcA1u/sgdnr3ghem1iw2eveCCNDSVEuSVFUNDYyMTQ5NTQuSVFfQ0RTX01JRC4yNC8wNy8yNgEAAAA6PTkBAgAAAAYxNC40MjkAfVxzgtnr3gjSUUWw2eveCCNDSVEuSVFUNDYyMDg2MzQuSVFfQ0RT</t>
  </si>
  <si>
    <t>X01JRC4yNC8wNy8yNgEAAAADH8IAAgAAAAcyMy4zMjUxAHCXc4LZ694I0lFFsNnr3ggjQ0lRLklRVDQ2MjI1MDgzLklRX0NEU19NSUQuMjQvMDcvMjYBAAAAVkQGAAIAAAACMzcAmg10gtnr3gjKqUaw2eveCCNDSVEuSVFUNDYyMDM3MTQuSVFfQ0RTX01JRC4yNi8wNy8yNgEAAABfBTUAAgAAAAczMS43NTYzAEw1c4LZ694I+uhYsNnr3ggjQ0lRLklRVDc5NjM5OTUzLklRX0NEU19NSUQuMjYvMDcvMjYBAAAANJtWAQIAAAAHMjQuODg3MQBwl3OC2eveCI1MWbDZ694IJENJUS5JUVQ1Mjg5MzY4MTIuSVFfQ0RTX01JRC4yNi8wNy8yNgEAAABsWwYAAgAAAAc0OC4yOTk3AJLmc4LZ694IOZxZsNnr3ggjQ0lRLklRVDQ2MTk3MTM4LklRX0NEU19NSUQuMjUvMDcvMjYBAAAA7pQ4AQIAAAAHMTI0LjM1NgBODnOC2eveCJcTRLDZ694II0NJUS5JUVQ1MTAyMzQ4MC5JUV9DRFNfTUlELjI1LzA3LzI2AQAAAMJF8QECAAAABjQuNjg4NQCAg3OC2eveCJcTRLDZ694II0NJUS5JUVQ0NjIwNDk1Ny5JUV9DRFNfTUlELjI1LzA3LzI2AQAAACEVBgACAAAABzU1LjgyMzcA575zgtnr3gjSUUWw2eveCCNDSVEuSVFUNjIyNzAxMDYuSVFfQ0RTX01JRC4yNS8wNy8yNgEAAACtd4MAAgAAAAc3NS4yMTAyAMzI7IHZ694I0lFFsNnr3ggjQ0lRLklRVDc5NjQwMDI0LklRX0NEU19NSUQuMjMvMDcvMjYBAAAANY+bAQIAAAAGNy44</t>
  </si>
  <si>
    <t>MzMzAH1cc4LZ694ISVpHsNnr3ggkQ0lRLklRVDMxMzMwNTg3OS5JUV9DRFNfTUlELjIzLzA3LzI2AQAAAITW3AECAAAABjIuMzMzNABwl3OC2eveCGGoR7DZ694II0NJUS5JUVQ0NjIwMDQxMi5JUV9DRFNfTUlELjIzLzA3LzI2AQAAAGNDBgACAAAABzQ1LjkwNDQAmg10gtnr3giS/0ew2eveCCNDSVEuSVFUNDYyMDMzMzIuSVFfQ0RTX01JRC4xNC8wNy8yNgEAAABfHjcAAgAAAAcxMS4xNjY3AEw1c4LZ694I1t5TsNnr3ggjQ0lRLklRVDQ2MjE1MTExLklRX0NEU19NSUQuMTQvMDcvMjYBAAAAoEuyAQIAAAAHMzYuOTc1OQBwl3OC2eveCGJUVLDZ694II0NJUS5JUVQ0NjIyNjEzMi5JUV9DRFNfTUlELjE0LzA3LzI2AQAAAN1ZAAACAAAABDQyLjQAkuZzgtnr3gjnuFSw2eveCCRDSVEuSVFUMzEzMzEzNTI0LklRX0NEU19NSUQuMTQvMDcvMjYBAAAA71UNAAIAAAAHNjAuNTM4OQDW7+yB2eveCPsGVbDZ694II0NJUS5JUVQ3OTYzOTkxMy5JUV9DRFNfTUlELjI3LzA0LzI2AQAAACBjHAICAAAAATkAgINzgtnr3gj4o1aw2eveCCNDSVEuSVFUNDYyMDc4NzIuSVFfQ0RTX01JRC4yNy8wNC8yNgEAAABYDQoAAgAAAAc0MS40OTY5AOe+c4LZ694IafhWsNnr3ggjQ0lRLklRVDQ2MjAwMzE3LklRX0NEU19NSUQuMjcvMDQvMjYBAAAA/lQNAAIAAAAHNjcuOTE1MwDMyOyB2eveCKhMV7DZ694IJENJUS5JUVQ2NDQ3</t>
  </si>
  <si>
    <t>MDE3OTcuSVFfQ0RTX01JRC4yMi8wNy8yNgEAAABTP30BAgAAAAcxMC4yMDk0AEw1c4LZ694IuWNIsNnr3ggjQ0lRLklRVDQ2MjE2OTg2LklRX0NEU19NSUQuMjIvMDcvMjYBAAAAzkQ4AQMAAAAAAHCXc4LZ694ISipKsNnr3ggkQ0lRLklRVDI1NDk1NTIzMy5JUV9DRFNfTUlELjIyLzA3LzI2AQAAADlWCgACAAAABTQyLjc1AJoNdILZ694ILHlKsNnr3ggjQ0lRLklRVDQ2MTk2MjI1LklRX0NEU19NSUQuMTcvMDcvMjYBAAAAvlWjAQIAAAAGMTcuMzc1AEw1c4LZ694IrQhQsNnr3ggjQ0lRLklRVDUxMDIzMjYwLklRX0NEU19NSUQuMTcvMDcvMjYBAAAAsRF/AQIAAAAHMTQuMDQ1OACAg3OC2eveCK0IULDZ694II0NJUS5JUVQ0NjIyNDc0MC5JUV9DRFNfTUlELjE3LzA3LzI2AQAAANNyCAACAAAABzM1LjIzMzcAkuZzgtnr3ghtzVCw2eveCCRDSVEuSVFUMzEzMzE3MzQ0LklRX0NEU19NSUQuMTcvMDcvMjYBAAAA8awBAAIAAAAHNjAuODEyMwDW7+yB2eveCG3NULDZ694II0NJUS5JUVQ0NjIwNjc3OS5JUV9DRFNfTUlELjE2LzA3LzI2AQAAAPzvNgACAAAABDE2LjUAfVxzgtnr3gjPkVGw2eveCCNDSVEuSVFUNDYyMTg2NzQuSVFfQ0RTX01JRC4xNi8wNy8yNgEAAABXyjYAAgAAAAYxMjUuNjQA575zgtnr3gie5lGw2eveCCNDSVEuSVFUNDYyMjU3MTUuSVFfQ0RTX01JRC4xNi8wNy8yNgEAAAC35QQAAgAA</t>
  </si>
  <si>
    <t>AAc0My4zOTIxAJoNdILZ694InjRSsNnr3ggjQ0lRLklRVDQ2MjA0ODg0LklRX0NEU19NSUQuMTMvMDcvMjYBAAAAgVHAAQIAAAAHMjkuMTgyNwBMNXOC2eveCAIuVbDZ694II0NJUS5JUVQ0NjIwNzc4OS5JUV9DRFNfTUlELjEzLzA3LzI2AQAAACpYowECAAAABzI2LjY3OTEAcJdzgtnr3ggso1Ww2eveCCRDSVEuSVFUMjg2MDk2MTMxLklRX0NEU19NSUQuMTMvMDcvMjYBAAAAO/EEAAIAAAAHNjAuNzAzMwCS5nOC2eveCFTxVbDZ694II0NJUS5JUVQ0NjIxMDU2MC5JUV9DRFNfTUlELjI3LzA3LzI2AQAAAPYaNwACAAAABzg3LjgwMTEATg5zgtnr3giSmlew2eveCCNDSVEuSVFUNDYyMTk5MjIuSVFfQ0RTX01JRC4yNy8wNy8yNgEAAADWRzkBAgAAAAY2LjY4NjIAgINzgtnr3ggw2Few2eveCCNDSVEuSVFUNDYyMjM2NDYuSVFfQ0RTX01JRC4yNy8wNy8yNgEAAAAbeAQAAgAAAAc0OS45MzU0AOe+c4LZ694IPk1YsNnr3ggkQ0lRLklRVDMxMzMxNDk3Ni5JUV9DRFNfTUlELjI3LzA3LzI2AQAAAG1KAAACAAAABzU4LjE2NTEA1u/sgdnr3ghem1iw2eveCCNDSVEuSVFUNDYyMTg1MTYuSVFfQ0RTX01JRC4yNC8wNy8yNgEAAACmVaMBAgAAAAYzNS4zNzgAfVxzgtnr3gjSUUWw2eveCCNDSVEuSVFUNDYyMjA4MDMuSVFfQ0RTX01JRC4yNC8wNy8yNgEAAADWyTYAAgAAAAc0NC4zOTAzAOe+c4LZ694Ia3xGsNnr</t>
  </si>
  <si>
    <t>3ggjQ0lRLklRVDQ2MjAwMzY0LklRX0NEU19NSUQuMjQvMDcvMjYBAAAAV4YIAAIAAAAHMjUuNTkyNACaDXSC2eveCMqpRrDZ694II0NJUS5JUVQ0NjIwNDMwMC5JUV9DRFNfTUlELjI2LzA3LzI2AQAAAPYlfQACAAAABjcuMDI2MQBMNXOC2eveCProWLDZ694II0NJUS5JUVQ2MDM4ODA1Ny5JUV9DRFNfTUlELjI2LzA3LzI2AQAAAN/JfQEDAAAAAABwl3OC2eveCI1MWbDZ694II0NJUS5JUVQ0NjE5OTg0MS5JUV9DRFNfTUlELjI2LzA3LzI2AQAAAOswBgADAAAAAACS5nOC2eveCDmcWbDZ694IJENJUS5JUVQzMTMzMTAxODQuSVFfQ0RTX01JRC4yNS8wNy8yNgEAAABgRD4AAgAAAAYxMS4wMzQATg5zgtnr3giXE0Sw2eveCCNDSVEuSVFUNDYyMTQ4NzkuSVFfQ0RTX01JRC4yNS8wNy8yNgEAAAD1GjcAAgAAAAc1MC45MjIxAICDc4LZ694IlxNEsNnr3ggjQ0lRLklRVDQ2NDcwODc3LklRX0NEU19NSUQuMjUvMDcvMjYBAAAAQjcHAAIAAAAHNTkuNDE4NgDnvnOC2eveCNJRRbDZ694IJENJUS5JUVQzMTMzMTA4NTQuSVFfQ0RTX01JRC4yNS8wNy8yNgEAAACvVA0AAgAAAAc2MS42NjY3ANbv7IHZ694I0lFFsNnr3ggjQ0lRLklRVDQ2MjE0OTU0LklRX0NEU19NSUQuMjMvMDcvMjYBAAAAOj05AQIAAAAEMTQuNQB9XHOC2eveCElaR7DZ694II0NJUS5JUVQ0NjIwODYzNC5JUV9DRFNfTUlELjIzLzA3LzI2AQAA</t>
  </si>
  <si>
    <t>AAMfwgACAAAABjIyLjgzNQBwl3OC2eveCGGoR7DZ694II0NJUS5JUVQ0NjIyNTA4My5JUV9DRFNfTUlELjIzLzA3LzI2AQAAAFZEBgACAAAABzM3LjA4MzMAmg10gtnr3giS/0ew2eveCCNDSVEuSVFUNDYyMDM3MTQuSVFfQ0RTX01JRC4xNC8wNy8yNgEAAABfBTUAAgAAAAczMS4yMjI0AEw1c4LZ694I1t5TsNnr3ggjQ0lRLklRVDc5NjM5OTUzLklRX0NEU19NSUQuMTQvMDcvMjYBAAAANJtWAQIAAAAHMjQuODc3MgBwl3OC2eveCGJUVLDZ694IJENJUS5JUVQ1Mjg5MzY4MTIuSVFfQ0RTX01JRC4xNC8wNy8yNgEAAABsWwYAAgAAAAc0Ny40ODkzAJLmc4LZ694I57hUsNnr3ggjQ0lRLklRVDQ2MTk3MTM4LklRX0NEU19NSUQuMjcvMDQvMjYBAAAA7pQ4AQIAAAAIMTIzLjcwNjkATg5zgtnr3giYVlaw2eveCCNDSVEuSVFUNTEwMjM0ODAuSVFfQ0RTX01JRC4yNy8wNC8yNgEAAADCRfEBAgAAAAY1LjcyMDQAgINzgtnr3gj4o1aw2eveCCNDSVEuSVFUNDYyMDQ5NTcuSVFfQ0RTX01JRC4yNy8wNC8yNgEAAAAhFQYAAgAAAAQ1OC4xAOe+c4LZ694IafhWsNnr3ggjQ0lRLklRVDYyMjcwMTA2LklRX0NEU19NSUQuMjcvMDQvMjYBAAAArXeDAAIAAAAHNzQuMTM0MwDW7+yB2eveCIdzV7DZ694II0NJUS5JUVQ3OTY0MDAyNC5JUV9DRFNfTUlELjIyLzA3LzI2AQAAADWPmwECAAAAAzcuOAB9XHOC2eveCLljSLDZ</t>
  </si>
  <si>
    <t>694IJENJUS5JUVQzMTMzMDU4NzkuSVFfQ0RTX01JRC4yMi8wNy8yNgEAAACE1twBAgAAAAYyLjMzMzQAcJdzgtnr3ghKKkqw2eveCCNDSVEuSVFUNDYyMDA0MTIuSVFfQ0RTX01JRC4yMi8wNy8yNgEAAABjQwYAAgAAAAU0NC43NQCaDXSC2eveCBigSrDZ694II0NJUS5JUVQ0NjIwMzMzMi5JUV9DRFNfTUlELjE3LzA3LzI2AQAAAF8eNwACAAAABzExLjE2NjcATDVzgtnr3gitCFCw2eveCCNDSVEuSVFUNDYyMTUxMTEuSVFfQ0RTX01JRC4xNy8wNy8yNgEAAACgS7IBAgAAAAczNy42OTE1AHCXc4LZ694IrQhQsNnr3ggjQ0lRLklRVDQ2MjI2MTMyLklRX0NEU19NSUQuMTcvMDcvMjYBAAAA3VkAAAIAAAAHNDMuODgxMQCS5nOC2eveCG3NULDZ694IJENJUS5JUVQzMTMzMTM1MjQuSVFfQ0RTX01JRC4xNy8wNy8yNgEAAADvVQ0AAgAAAAc2MC4wMDY2ANbv7IHZ694Ibc1QsNnr3ggjQ0lRLklRVDc5NjM5OTEzLklRX0NEU19NSUQuMTUvMDcvMjYBAAAAIGMcAgIAAAAGOC4wODMzAH1cc4LZ694IbNFSsNnr3ggjQ0lRLklRVDQ2MjA3ODcyLklRX0NEU19NSUQuMTUvMDcvMjYBAAAAWA0KAAIAAAAHNDAuNjU1MwDnvnOC2eveCCY6U7DZ694II0NJUS5JUVQ0NjIwMDMxNy5JUV9DRFNfTUlELjE1LzA3LzI2AQAAAP5UDQACAAAABzY0LjA3NDkAzMjsgdnr3gi2kFOw2eveCCRDSVEuSVFUNjQ0NzAxNzk3LklRX0NE</t>
  </si>
  <si>
    <t>U19NSUQuMjcvMDcvMjUBAAAAUz99AQIAAAAHMTUuMjE4NgBMNXOC2eveCM2YTbDZ694II0NJUS5JUVQ0NjIxNjk4Ni5JUV9DRFNfTUlELjI3LzA3LzI1AQAAAM5EOAEDAAAAAABwl3OC2eveCIz8TbDZ694IJENJUS5JUVQyNTQ5NTUyMzMuSVFfQ0RTX01JRC4yNy8wNy8yNQEAAAA5VgoAAgAAAAY1NS4xMTcAmg10gtnr3ghQS06w2eveCCNDSVEuSVFUNDYxOTYyMjUuSVFfQ0RTX01JRC4yMS8wNy8yNgEAAAC+VaMBAgAAAAYxNy4zNzUATDVzgtnr3ggy7kqw2eveCCNDSVEuSVFUNTEwMjMyNjAuSVFfQ0RTX01JRC4yMS8wNy8yNgEAAACxEX8BAgAAAAcxNC4wNjc5AICDc4LZ694IUDxLsNnr3ggjQ0lRLklRVDQ2MjI0NzQwLklRX0NEU19NSUQuMjEvMDcvMjYBAAAA03IIAAIAAAAHMzUuNTgwNgCS5nOC2eveCK+kS7DZ694IJENJUS5JUVQzMTMzMTczNDQuSVFfQ0RTX01JRC4yMS8wNy8yNgEAAADxrAEAAgAAAAc2MC4xMjg2ANbv7IHZ694I+PtLsNnr3ggjQ0lRLklRVDQ2MjAwMjc2LklRX0NEU19NSUQuMjAvMDcvMjYBAAAAlnd8AQIAAAAHMjkuMzY2NQB9XHOC2eveCHr8TrDZ694II0NJUS5JUVQ0NjE5NTQ5MS5JUV9DRFNfTUlELjIwLzA3LzI2AQAAAGlKAAACAAAABzU1LjQzMTgA575zgtnr3gj7d0+w2eveCCNDSVEuSVFUNzk2MzQ5MDEuSVFfQ0RTX01JRC4yMC8wNy8yNgEAAACcBhAAAgAAAAc0MS4w</t>
  </si>
  <si>
    <t>MzkyAJoNdILZ694IDKNPsNnr3ggjQ0lRLklRVDQ2MjA3NTcxLklRX0NEU19NSUQuMTkvMDcvMjYBAAAAbe81AAIAAAAHMzAuMjkxNwBMNXOC2eveCLljSLDZ694II0NJUS5JUVQ0NjIxMzQ3Mi5JUV9DRFNfTUlELjE5LzA3LzI2AQAAALlaOAACAAAAAjE1AHCXc4LZ694IuWNIsNnr3ggkQ0lRLklRVDI2MzIxMzEzMi5JUV9DRFNfTUlELjE5LzA3LzI2AQAAAOGaCAACAAAABzU1Ljg3OTQAmg10gtnr3gi5Y0iw2eveCCNDSVEuSVFUNDYxOTQ5OTUuSVFfQ0RTX01JRC4xOC8wNy8yNgEAAABuEDEAAgAAAAUxMC45OABMNXOC2eveCMUiTLDZ694II0NJUS5JUVQ0NjIyMjI5Mi5JUV9DRFNfTUlELjE4LzA3LzI2AQAAANGRmwECAAAACDc2MC44MTQ4AICDc4LZ694IYZdMsNnr3ggjQ0lRLklRVDQ2MjI1MDA2LklRX0NEU19NSUQuMTgvMDcvMjYBAAAA+FUNAAIAAAAHNDMuNTQ4OACS5nOC2eveCPr6TLDZ694II0NJUS5JUVQ0NjIyMDMyOS5JUV9DRFNfTUlELjE4LzA3LzI2AQAAANtbAAACAAAAAjU2ANbv7IHZ694I/ElNsNnr3ggjQ0lRLklRVDQ2MjEwNTYwLklRX0NEU19NSUQuMjcvMDcvMjUBAAAA9ho3AAIAAAAIMTEyLjM5ODIATg5zgtnr3gh+ck2w2eveCCNDSVEuSVFUNzk2MzQ5MDEuSVFfQ0RTX01JRC4xNy8wNy8yNgEAAACcBhAAAgAAAAc0MS4wNDI1AJoNdILZ694Ibc1QsNnr3ggjQ0lRLklRVDQ2MTk3</t>
  </si>
  <si>
    <t>Njk0LklRX0NEU19NSUQuMjEvMDcvMjYBAAAAB/oFAAIAAAAHNTIuMTI4NADnvnOC2eveCOF6S7DZ694II0NJUS5JUVQ0NjIyNTM3NC5JUV9DRFNfTUlELjIwLzA3LzI2AQAAALXWBQACAAAABzM5LjA3NzcAkuZzgtnr3ggMo0+w2eveCCRDSVEuSVFUMzIzNjgwMTMwLklRX0NEU19NSUQuMTkvMDcvMjYBAAAAceECAAIAAAAHNTEuNDQ3OACS5nOC2eveCLljSLDZ694II0NJUS5JUVQ0NjIxODY3NC5JUV9DRFNfTUlELjE4LzA3LzI2AQAAAFfKNgACAAAACDEyOS4yNzg1AOe+c4LZ694IN79MsNnr3ggjQ0lRLklRVDYwMzg5NTE2LklRX0NEU19NSUQuMTMvMDcvMjYBAAAApfDDAQIAAAAGNy4yNDA4AICDc4LZ694IH3xVsNnr3ggjQ0lRLklRVDQ2MjI1NzE1LklRX0NEU19NSUQuMjcvMDcvMjYBAAAAt+UEAAIAAAAHNDMuNDYxNQCaDXSC2eveCF6bWLDZ694II0NJUS5JUVQ0NjIwNDMwMC5JUV9DRFNfTUlELjIzLzA3LzI2AQAAAPYlfQACAAAABjcuMTA0MgBMNXOC2eveCDYzR7DZ694II0NJUS5JUVQ0NjIxNDk1NC5JUV9DRFNfTUlELjI3LzA0LzI2AQAAADo9OQECAAAABjE2LjQxNQB9XHOC2eveCBZ9VrDZ694II0NJUS5JUVQ0NjIxNjk4Ni5JUV9DRFNfTUlELjIwLzA3LzI2AQAAAM5EOAEDAAAAAABwl3OC2eveCHxKT7DZ694II0NJUS5JUVQ3OTYzOTkxMy5JUV9DRFNfTUlELjI3LzA3LzI2AQAAACBjHAIC</t>
  </si>
  <si>
    <t>AAAABjcuOTYyNwB9XHOC2eveCDDYV7DZ694II0NJUS5JUVQ0NjIyNTAwNi5JUV9DRFNfTUlELjE0LzA3LzI2AQAAAPhVDQACAAAABzQyLjE2MjEAkuZzgtnr3gigk1Sw2eveCCNDSVEuSVFUNDYyNjIzNzguSVFfQ0RTX01JRC4yNy8wNC8yNgEAAABA0okBAgAAAAcxOC44MzMzAH1cc4LZ694I+KNWsNnr3ggjQ0lRLklRVDYyMjcwMTA3LklRX0NEU19NSUQuMjcvMDQvMjYBAAAAFVkAAAIAAAAHMzkuNjk1OACaDXSC2eveCKhMV7DZ694II0NJUS5JUVQ0NjIwNzc4OS5JUV9DRFNfTUlELjI3LzA3LzI1AQAAACpYowECAAAABjIxLjA3MQBwl3OC2eveCDvnTbDZ694II0NJUS5JUVQ0NjIwMDM2NC5JUV9DRFNfTUlELjIwLzA3LzI2AQAAAFeGCAACAAAABDI1LjEAmg10gtnr3ggMo0+w2eveCCNDSVEuSVFUNDY0NzA4NzcuSVFfQ0RTX01JRC4xOC8wNy8yNgEAAABCNwcAAgAAAAY1OC4zMTQA575zgtnr3gg3v0yw2eveCCNDSVEuSVFUNDYyNjIzNzguSVFfQ0RTX01JRC4xNi8wNy8yNgEAAABA0okBAgAAAAQxOC40AH1cc4LZ694I9JdRsNnr3ggjQ0lRLklRVDQ2MTk3Njk0LklRX0NEU19NSUQuMTYvMDcvMjYBAAAAB/oFAAIAAAAHNTMuMTk2NwDnvnOC2eveCJ7mUbDZ694II0NJUS5JUVQ2MjI3MDEwNy5JUV9DRFNfTUlELjE2LzA3LzI2AQAAABVZAAACAAAABzQxLjMzMDkAmg10gtnr3gieNFKw2eveCCNDSVEu</t>
  </si>
  <si>
    <t>SVFUNDYyMDczMDguSVFfQ0RTX01JRC4xMy8wNy8yNgEAAAA5iXoBAgAAAAcxNC4zMzMzAEw1c4LZ694IAi5VsNnr3ggjQ0lRLklRVDQ2MjEwMDMyLklRX0NEU19NSUQuMTMvMDcvMjYBAAAAj1WjAQIAAAAHMzYuODg3MwBwl3OC2eveCCyjVbDZ694II0NJUS5JUVQ0NjIyNTM3NC5JUV9DRFNfTUlELjEzLzA3LzI2AQAAALXWBQACAAAABTM4LjQ2AJoNdILZ694IVPFVsNnr3ggjQ0lRLklRVDQ5NzUxMTk2LklRX0NEU19NSUQuMjcvMDcvMjYBAAAAzZm9AAIAAAAHNDAuNTcwNgBODnOC2eveCJKaV7DZ694II0NJUS5JUVQ2MDM4OTUxNi5JUV9DRFNfTUlELjI3LzA3LzI2AQAAAKXwwwECAAAABjcuMjQ3MQCAg3OC2eveCCn/V7DZ694IJENJUS5JUVQzMjM2ODAxMzAuSVFfQ0RTX01JRC4yNy8wNy8yNgEAAABx4QIAAgAAAAc1Mi40OTM4AJLmc4LZ694IPk1YsNnr3ggkQ0lRLklRVDMxMzMxNTQyOS5JUV9DRFNfTUlELjI3LzA3LzI2AQAAADnnBQACAAAABzYyLjUwNjcA1u/sgdnr3ghem1iw2eveCCNDSVEuSVFUNDYyMDY3NzkuSVFfQ0RTX01JRC4yNC8wNy8yNgEAAAD87zYAAgAAAAcxNi40NzI2AH1cc4LZ694I0lFFsNnr3ggjQ0lRLklRVDQ2MjE4Njc0LklRX0NEU19NSUQuMjQvMDcvMjYBAAAAV8o2AAIAAAAIMTM0LjQxMzIA575zgtnr3gingkaw2eveCCNDSVEuSVFUNDYyMjU3MTUuSVFfQ0RTX01JRC4y</t>
  </si>
  <si>
    <t>NC8wNy8yNgEAAAC35QQAAgAAAAc0My40NjE1AJoNdILZ694IaudGsNnr3ggjQ0lRLklRVDQ2MjA0ODg0LklRX0NEU19NSUQuMjYvMDcvMjYBAAAAgVHAAQIAAAAHMjkuODMzMwBMNXOC2eveCProWLDZ694II0NJUS5JUVQ0NjIwNzc4OS5JUV9DRFNfTUlELjI2LzA3LzI2AQAAACpYowECAAAABzI3LjExMjMAcJdzgtnr3giNTFmw2eveCCRDSVEuSVFUMjg2MDk2MTMxLklRX0NEU19NSUQuMjYvMDcvMjYBAAAAO/EEAAIAAAAHNjAuOTA0NwCS5nOC2eveCDmcWbDZ694II0NJUS5JUVQ0NjIxMDU2MC5JUV9DRFNfTUlELjI1LzA3LzI2AQAAAPYaNwACAAAABzg3LjgwMTEATg5zgtnr3giXE0Sw2eveCCNDSVEuSVFUNDYyMTk5MjIuSVFfQ0RTX01JRC4yNS8wNy8yNgEAAADWRzkBAgAAAAY2LjY4NjIAgINzgtnr3giXE0Sw2eveCCNDSVEuSVFUNDYyMjM2NDYuSVFfQ0RTX01JRC4yNS8wNy8yNgEAAAAbeAQAAgAAAAc0OS45MzU0AOe+c4LZ694I0lFFsNnr3ggkQ0lRLklRVDMxMzMxNDk3Ni5JUV9DRFNfTUlELjI1LzA3LzI2AQAAAG1KAAACAAAABzU4LjE2NTEA1u/sgdnr3gjSUUWw2eveCCNDSVEuSVFUNDYyMTg1MTYuSVFfQ0RTX01JRC4yMy8wNy8yNgEAAACmVaMBAgAAAAczNC44NTY0AH1cc4LZ694ISVpHsNnr3ggjQ0lRLklRVDQ2MjIwODAzLklRX0NEU19NSUQuMjMvMDcvMjYBAAAA1sk2AAIAAAAGNDMu</t>
  </si>
  <si>
    <t>MzE4AOe+c4LZ694IYahHsNnr3ggjQ0lRLklRVDQ2MjAwMzY0LklRX0NEU19NSUQuMjMvMDcvMjYBAAAAV4YIAAIAAAAHMjUuNTM2NgCaDXSC2eveCJL/R7DZ694II0NJUS5JUVQ0NjIwNDMwMC5JUV9DRFNfTUlELjE0LzA3LzI2AQAAAPYlfQACAAAABjcuMTAwMQBMNXOC2eveCNbeU7DZ694II0NJUS5JUVQ2MDM4ODA1Ny5JUV9DRFNfTUlELjE0LzA3LzI2AQAAAN/JfQEDAAAAAABwl3OC2eveCGJUVLDZ694II0NJUS5JUVQ0NjE5OTg0MS5JUV9DRFNfTUlELjE0LzA3LzI2AQAAAOswBgADAAAAAACS5nOC2eveCOe4VLDZ694IJENJUS5JUVQzMTMzMTAxODQuSVFfQ0RTX01JRC4yNy8wNC8yNgEAAABgRD4AAgAAAAcxMi4zNTQ4AE4Oc4LZ694ImFZWsNnr3ggjQ0lRLklRVDQ2MjE0ODc5LklRX0NEU19NSUQuMjcvMDQvMjYBAAAA9Ro3AAIAAAAHNTIuMDUyNwCAg3OC2eveCPijVrDZ694II0NJUS5JUVQ0NjQ3MDg3Ny5JUV9DRFNfTUlELjI3LzA0LzI2AQAAAEI3BwACAAAABDU5LjUA575zgtnr3ghp+Faw2eveCCRDSVEuSVFUMzEzMzEwODU0LklRX0NEU19NSUQuMjcvMDQvMjYBAAAAr1QNAAIAAAACNjMA1u/sgdnr3giHc1ew2eveCCNDSVEuSVFUNDYyMTQ5NTQuSVFfQ0RTX01JRC4yMi8wNy8yNgEAAAA6PTkBAgAAAAYxNC4zNzUAfVxzgtnr3gi5Y0iw2eveCCNDSVEuSVFUNDYyMDg2MzQuSVFfQ0RTX01J</t>
  </si>
  <si>
    <t>RC4yMi8wNy8yNgEAAAADH8IAAgAAAAcyMi42ODg4AHCXc4LZ694ISipKsNnr3ggjQ0lRLklRVDQ2MjI1MDgzLklRX0NEU19NSUQuMjIvMDcvMjYBAAAAVkQGAAIAAAAHMzYuODMzMwCaDXSC2eveCBigSrDZ694II0NJUS5JUVQ0NjIwMzcxNC5JUV9DRFNfTUlELjE3LzA3LzI2AQAAAF8FNQACAAAABTMxLjQ1AEw1c4LZ694IrQhQsNnr3ggjQ0lRLklRVDc5NjM5OTUzLklRX0NEU19NSUQuMTcvMDcvMjYBAAAANJtWAQIAAAAHMjQuOTQyOABwl3OC2eveCK0IULDZ694IJENJUS5JUVQ1Mjg5MzY4MTIuSVFfQ0RTX01JRC4xNy8wNy8yNgEAAABsWwYAAgAAAAc0Ny45NTk0AJLmc4LZ694Ibc1QsNnr3ggjQ0lRLklRVDQ2MTk3MTM4LklRX0NEU19NSUQuMTUvMDcvMjYBAAAA7pQ4AQIAAAAIMTIyLjY2NzgATg5zgtnr3ghOg1Kw2eveCCNDSVEuSVFUNTEwMjM0ODAuSVFfQ0RTX01JRC4xNS8wNy8yNgEAAADCRfEBAgAAAAY0LjUwODIAgINzgtnr3ghs0VKw2eveCCNDSVEuSVFUNDYyMDQ5NTcuSVFfQ0RTX01JRC4xNS8wNy8yNgEAAAAhFQYAAgAAAAc1NC42ODc0AOe+c4LZ694IJjpTsNnr3ggjQ0lRLklRVDYyMjcwMTA2LklRX0NEU19NSUQuMTUvMDcvMjYBAAAArXeDAAIAAAAHNzUuMjEwNwDW7+yB2eveCG64U7DZ694II0NJUS5JUVQ3OTY0MDAyNC5JUV9DRFNfTUlELjI3LzA3LzI1AQAAADWPmwECAAAABjEw</t>
  </si>
  <si>
    <t>LjQ3NgB9XHOC2eveCM2YTbDZ694IJENJUS5JUVQzMTMzMDU4NzkuSVFfQ0RTX01JRC4yNy8wNy8yNQEAAACE1twBAgAAAAYzLjI3MjYAcJdzgtnr3giM/E2w2eveCCNDSVEuSVFUNDYyMDA0MTIuSVFfQ0RTX01JRC4yNy8wNy8yNQEAAABjQwYAAgAAAAY1Mi4xMjQAmg10gtnr3ghQS06w2eveCCNDSVEuSVFUNDYyMDMzMzIuSVFfQ0RTX01JRC4yMS8wNy8yNgEAAABfHjcAAgAAAAcxMS4xNjY3AEw1c4LZ694IMu5KsNnr3ggjQ0lRLklRVDQ2MjE1MTExLklRX0NEU19NSUQuMjEvMDcvMjYBAAAAoEuyAQIAAAAHMzcuMzM5MwBwl3OC2eveCFA8S7DZ694II0NJUS5JUVQ0NjIyNjEzMi5JUV9DRFNfTUlELjIxLzA3LzI2AQAAAN1ZAAACAAAABTQ0Ljc0AJLmc4LZ694Ir6RLsNnr3ggkQ0lRLklRVDMxMzMxMzUyNC5JUV9DRFNfTUlELjIxLzA3LzI2AQAAAO9VDQACAAAABzU5Ljk2OTMA1u/sgdnr3gj4+0uw2eveCCNDSVEuSVFUNzk2Mzk5MTMuSVFfQ0RTX01JRC4yMC8wNy8yNgEAAAAgYxwCAgAAAAU4LjEyNQB9XHOC2eveCHr8TrDZ694II0NJUS5JUVQ0NjIwNzg3Mi5JUV9DRFNfTUlELjIwLzA3LzI2AQAAAFgNCgACAAAABzQwLjgwMDYA575zgtnr3gj7d0+w2eveCCNDSVEuSVFUNDYyMDAzMTcuSVFfQ0RTX01JRC4yMC8wNy8yNgEAAAD+VA0AAgAAAAc2Mi4xNjU4AMzI7IHZ694IDKNPsNnr3ggkQ0lRLklR</t>
  </si>
  <si>
    <t>VDY0NDcwMTc5Ny5JUV9DRFNfTUlELjE5LzA3LzI2AQAAAFM/fQECAAAABzEwLjM4MTcATDVzgtnr3gi5Y0iw2eveCCNDSVEuSVFUNDYyMTY5ODYuSVFfQ0RTX01JRC4xOS8wNy8yNgEAAADORDgBAwAAAAAAcJdzgtnr3gi5Y0iw2eveCCRDSVEuSVFUMjU0OTU1MjMzLklRX0NEU19NSUQuMTkvMDcvMjYBAAAAOVYKAAIAAAAHNDMuMzM4NgCaDXSC2eveCLljSLDZ694II0NJUS5JUVQ0NjE5NjIyNS5JUV9DRFNfTUlELjE4LzA3LzI2AQAAAL5VowECAAAABjE3LjM3NQBMNXOC2eveCMUiTLDZ694II0NJUS5JUVQ1MTAyMzI2MC5JUV9DRFNfTUlELjE4LzA3LzI2AQAAALERfwECAAAABzE0LjA0NTgAgINzgtnr3ghhl0yw2eveCCNDSVEuSVFUNDYyMjQ3NDAuSVFfQ0RTX01JRC4xOC8wNy8yNgEAAADTcggAAgAAAAczNS4yMzM3AJLmc4LZ694IywBNsNnr3ggkQ0lRLklRVDMxMzMxNzM0NC5JUV9DRFNfTUlELjE4LzA3LzI2AQAAAPGsAQACAAAABzYwLjgxMjMA1u/sgdnr3gj8SU2w2eveCCRDSVEuSVFUMzEzMzE3MzQ0LklRX0NEU19NSUQuMTUvMDcvMjYBAAAA8awBAAIAAAAHNjAuNTIwNgDW7+yB2eveCG64U7DZ694IJENJUS5JUVQyNjMyMTMxMzIuSVFfQ0RTX01JRC4yMS8wNy8yNgEAAADhmggAAgAAAAY1NS4xMjUAmg10gtnr3git0kuw2eveCCNDSVEuSVFUNDYyMjAzMjkuSVFfQ0RTX01JRC4yMC8wNy8y</t>
  </si>
  <si>
    <t>NgEAAADbWwAAAgAAAAI1NgDW7+yB2eveCAyjT7DZ694II0NJUS5JUVQ0NjIwNzMwOC5JUV9DRFNfTUlELjE4LzA3LzI2AQAAADmJegECAAAABzE0LjU2MjUATDVzgtnr3gjeSUyw2eveCCNDSVEuSVFUNDYyMTAwMzIuSVFfQ0RTX01JRC4xOC8wNy8yNgEAAACPVaMBAgAAAAczNy4zMDUxAHCXc4LZ694IYZdMsNnr3ggjQ0lRLklRVDQ2MjI1Mzc0LklRX0NEU19NSUQuMTgvMDcvMjYBAAAAtdYFAAIAAAAHMzkuMDM2NwCS5nOC2eveCMsATbDZ694II0NJUS5JUVQ0OTc1MTE5Ni5JUV9DRFNfTUlELjE2LzA3LzI2AQAAAM2ZvQACAAAABzQxLjkzODMATDVzgtnr3ghtzVCw2eveCCNDSVEuSVFUNDYyMTg2NzQuSVFfQ0RTX01JRC4xMy8wNy8yNgEAAABXyjYAAgAAAAgxMjQuMzgxNgDnvnOC2eveCD7KVbDZ694II0NJUS5JUVQ0NjIwNDg4NC5JUV9DRFNfTUlELjI3LzA3LzI2AQAAAIFRwAECAAAABzI5LjgzMzMATDVzgtnr3gjLr1ew2eveCCNDSVEuSVFUNDYyMDc3ODkuSVFfQ0RTX01JRC4yNy8wNy8yNgEAAAAqWKMBAgAAAAcyNy4xMTIzAHCXc4LZ694IKf9XsNnr3ggjQ0lRLklRVDQ2MjEwNTYwLklRX0NEU19NSUQuMjQvMDcvMjYBAAAA9ho3AAIAAAAHODcuODAxMQBODnOC2eveCNJRRbDZ694II0NJUS5JUVQ0NjIwMDM2NC5JUV9DRFNfTUlELjI2LzA3LzI2AQAAAFeGCAACAAAABzI1LjU5MjQAmg10gtnr</t>
  </si>
  <si>
    <t>3gjJwVmw2eveCCNDSVEuSVFUNjAzODgwNTcuSVFfQ0RTX01JRC4yNS8wNy8yNgEAAADfyX0BAwAAAAAAcJdzgtnr3giXE0Sw2eveCCRDSVEuSVFUMzEzMzEwMTg0LklRX0NEU19NSUQuMjMvMDcvMjYBAAAAYEQ+AAIAAAAHMTAuOTc5NABODnOC2eveCDgMR7DZ694II0NJUS5JUVQ0NjIxNDk1NC5JUV9DRFNfTUlELjE0LzA3LzI2AQAAADo9OQECAAAABTE0LjM1AH1cc4LZ694I2QRUsNnr3ggjQ0lRLklRVDQ2MjA4NjM0LklRX0NEU19NSUQuMTQvMDcvMjYBAAAAAx/CAAIAAAAHMjIuNTI1OABwl3OC2eveCGJUVLDZ694II0NJUS5JUVQ0NjIyNTA4My5JUV9DRFNfTUlELjE0LzA3LzI2AQAAAFZEBgACAAAABDM3LjUAmg10gtnr3ggF4FSw2eveCCNDSVEuSVFUNDYyMDM3MTQuSVFfQ0RTX01JRC4yNy8wNC8yNgEAAABfBTUAAgAAAAcyNy44NDc3AEw1c4LZ694IFn1WsNnr3ggkQ0lRLklRVDUyODkzNjgxMi5JUV9DRFNfTUlELjI3LzA0LzI2AQAAAGxbBgACAAAABzU1Ljg3OTkAkuZzgtnr3ghvI1ew2eveCCNDSVEuSVFUNTEwMjM0ODAuSVFfQ0RTX01JRC4yMi8wNy8yNgEAAADCRfEBAgAAAAY0LjY4NTIAgINzgtnr3gjeAkqw2eveCCNDSVEuSVFUNDYyMDA0MTIuSVFfQ0RTX01JRC4xNy8wNy8yNgEAAABjQwYAAgAAAAc0NS44MzMzAJoNdILZ694Ibc1QsNnr3ggjQ0lRLklRVDQ2MjAzMzMyLklRX0NEU19N</t>
  </si>
  <si>
    <t>SUQuMTUvMDcvMjYBAAAAXx43AAIAAAAHMTEuMTY2NwBMNXOC2eveCE6DUrDZ694II0NJUS5JUVQ0NjIyNjEzMi5JUV9DRFNfTUlELjE1LzA3LzI2AQAAAN1ZAAACAAAABzQyLjEyODkAkuZzgtnr3gh8aFOw2eveCCRDSVEuSVFUNjQ0NzAxNzk3LklRX0NEU19NSUQuMjEvMDcvMjYBAAAAUz99AQIAAAAHMTAuMzMyNABMNXOC2eveCEAVS7DZ694II0NJUS5JUVQ0NjE5NjIyNS5JUV9DRFNfTUlELjIwLzA3LzI2AQAAAL5VowECAAAABjE3LjM3NQBMNXOC2eveCJ2tTrDZ694II0NJUS5JUVQ1MTAyMzI2MC5JUV9DRFNfTUlELjIwLzA3LzI2AQAAALERfwECAAAABzE0LjA2MzIAgINzgtnr3ghwI0+w2eveCCNDSVEuSVFUNDYyMjQ3NDAuSVFfQ0RTX01JRC4yMC8wNy8yNgEAAADTcggAAgAAAAUzNS4zMgCS5nOC2eveCPt3T7DZ694II0NJUS5JUVQ0NjE5NTQ5MS5JUV9DRFNfTUlELjE5LzA3LzI2AQAAAGlKAAACAAAABzU1LjYxNzYA575zgtnr3gi5Y0iw2eveCCNDSVEuSVFUNDYyMDc1NzEuSVFfQ0RTX01JRC4xOC8wNy8yNgEAAABt7zUAAgAAAAczMC4yOTE3AEw1c4LZ694I3klMsNnr3ggjQ0lRLklRVDQ2MjEzNDcyLklRX0NEU19NSUQuMTgvMDcvMjYBAAAAuVo4AAIAAAACMTUAcJdzgtnr3ghhl0yw2eveCCNDSVEuSVFUNDk3NTExOTYuSVFfQ0RTX01JRC4yMi8wNy8yNgEAAADNmb0AAgAAAAc0MS4xOTUy</t>
  </si>
  <si>
    <t>AEw1c4LZ694IuWNIsNnr3ggkQ0lRLklRVDMxMzMxNTQyOS5JUV9DRFNfTUlELjIyLzA3LzI2AQAAADnnBQACAAAABzYyLjE3MTMA1u/sgdnr3ggjx0qw2eveCCNDSVEuSVFUNDYyMTg2NzQuSVFfQ0RTX01JRC4xNy8wNy8yNgEAAABXyjYAAgAAAAgxMjkuMjc4NQDnvnOC2eveCK0IULDZ694II0NJUS5JUVQ0NjIwNDg4NC5JUV9DRFNfTUlELjE1LzA3LzI2AQAAAIFRwAECAAAABzI5LjQzNzUATDVzgtnr3ghgqlKw2eveCCNDSVEuSVFUNDYyMDc3ODkuSVFfQ0RTX01JRC4xNS8wNy8yNgEAAAAqWKMBAgAAAAYyNi40MTEAcJdzgtnr3ghJEFOw2eveCCRDSVEuSVFUMjg2MDk2MTMxLklRX0NEU19NSUQuMTUvMDcvMjYBAAAAO/EEAAIAAAAHNjAuNjY0NACS5nOC2eveCHxoU7DZ694II0NJUS5JUVQ0NjIyMzY0Ni5JUV9DRFNfTUlELjI3LzA3LzI1AQAAABt4BAACAAAABzQ4LjA0NDMA575zgtnr3gjgJE6w2eveCCNDSVEuSVFUNDYyMDAzNjQuSVFfQ0RTX01JRC4yMS8wNy8yNgEAAABXhggAAgAAAAYyNS4wNzUAmg10gtnr3git0kuw2eveCCNDSVEuSVFUNDYyMDQzMDAuSVFfQ0RTX01JRC4yMC8wNy8yNgEAAAD2JX0AAgAAAAY3LjEwMDIATDVzgtnr3ggd1k6w2eveCCNDSVEuSVFUNjAzODgwNTcuSVFfQ0RTX01JRC4yMC8wNy8yNgEAAADfyX0BAwAAAAAAcJdzgtnr3ghwI0+w2eveCCNDSVEuSVFUNDYyMTQ4</t>
  </si>
  <si>
    <t>NzkuSVFfQ0RTX01JRC4xOS8wNy8yNgEAAAD1GjcAAgAAAAc1MC45MTM0AICDc4LZ694IuWNIsNnr3ggjQ0lRLklRVDQ2NDcwODc3LklRX0NEU19NSUQuMTkvMDcvMjYBAAAAQjcHAAIAAAAGNTguMzE0AOe+c4LZ694IuWNIsNnr3ggjQ0lRLklRVDQ2MjE0OTU0LklRX0NEU19NSUQuMTgvMDcvMjYBAAAAOj05AQIAAAAEMTQuNAB9XHOC2eveCN5JTLDZ694II0NJUS5JUVQ0NjIwODYzNC5JUV9DRFNfTUlELjE4LzA3LzI2AQAAAAMfwgACAAAABjIyLjgyNQBwl3OC2eveCDe/TLDZ694II0NJUS5JUVQ0NjIyNTA4My5JUV9DRFNfTUlELjE4LzA3LzI2AQAAAFZEBgACAAAABDM2LjUAmg10gtnr3gj9Ik2w2eveCCNDSVEuSVFUNDYyMDAyNzYuSVFfQ0RTX01JRC4xNy8wNy8yNgEAAACWd3wBAgAAAAcyOS41MTAzAH1cc4LZ694IrQhQsNnr3ggjQ0lRLklRVDQ2MjA3NTcxLklRX0NEU19NSUQuMTUvMDcvMjYBAAAAbe81AAIAAAAFMjkuODUATDVzgtnr3ghgqlKw2eveCCNDSVEuSVFUNDYyMTM0NzIuSVFfQ0RTX01JRC4xNS8wNy8yNgEAAAC5WjgAAgAAAAIxNQBwl3OC2eveCEkQU7DZ694II0NJUS5JUVQ0NjE5NDk5NS5JUV9DRFNfTUlELjI3LzA3LzI1AQAAAG4QMQACAAAAAjE1AEw1c4LZ694IfnJNsNnr3ggjQ0lRLklRVDQ2MjIyMjkyLklRX0NEU19NSUQuMjcvMDcvMjUBAAAA0ZGbAQIAAAAKMTQ3ODcuMzI5</t>
  </si>
  <si>
    <t>MwCAg3OC2eveCM2/TbDZ694II0NJUS5JUVQ0NjIyNTAwNi5JUV9DRFNfTUlELjI3LzA3LzI1AQAAAPhVDQACAAAABzQxLjU2NzYAkuZzgtnr3gjgJE6w2eveCCNDSVEuSVFUNDYyMjAzMjkuSVFfQ0RTX01JRC4yNy8wNy8yNQEAAADbWwAAAgAAAAc0NC41MzM2ANbv7IHZ694IuYhOsNnr3ggjQ0lRLklRVDQ2MjA3MzA4LklRX0NEU19NSUQuMjAvMDcvMjYBAAAAOYl6AQIAAAAEMTQuNQBMNXOC2eveCB3WTrDZ694II0NJUS5JUVQ2MDM4OTUxNi5JUV9DRFNfTUlELjE5LzA3LzI2AQAAAKXwwwECAAAABjcuMjQ3NwCAg3OC2eveCLljSLDZ694II0NJUS5JUVQ0NjIwNjc3OS5JUV9DRFNfTUlELjE4LzA3LzI2AQAAAPzvNgACAAAABDE2LjUAfVxzgtnr3ghEcEyw2eveCCNDSVEuSVFUNDYyMjU3MTUuSVFfQ0RTX01JRC4xOC8wNy8yNgEAAAC35QQAAgAAAAc0My40MzM5AJoNdILZ694I/SJNsNnr3ggjQ0lRLklRVDQ2MjEwMDMyLklRX0NEU19NSUQuMTYvMDcvMjYBAAAAj1WjAQIAAAAGMzYuNjc1AHCXc4LZ694IdL9RsNnr3ggjQ0lRLklRVDQ2MjA0ODg0LklRX0NEU19NSUQuMjQvMDcvMjYBAAAAgVHAAQIAAAAHMjkuODMzMwBMNXOC2eveCNJRRbDZ694II0NJUS5JUVQ0NjIxOTkyMi5JUV9DRFNfTUlELjI2LzA3LzI2AQAAANZHOQECAAAABjYuNjg2MgCAg3OC2eveCI4nWbDZ694II0NJUS5JUVQ3OTY0MDAy</t>
  </si>
  <si>
    <t>NC5JUV9DRFNfTUlELjE1LzA3LzI2AQAAADWPmwECAAAABTcuODc1AH1cc4LZ694IYKpSsNnr3ggjQ0lRLklRVDQ2MjE1MTExLklRX0NEU19NSUQuMjcvMDcvMjUBAAAAoEuyAQIAAAAHNDAuODc5OABwl3OC2eveCDvnTbDZ694IJENJUS5JUVQyNTQ5NTUyMzMuSVFfQ0RTX01JRC4yMC8wNy8yNgEAAAA5VgoAAgAAAAc0My4yMDA4AJoNdILZ694IDKNPsNnr3ggjQ0lRLklRVDQ2MjAwMjc2LklRX0NEU19NSUQuMTYvMDcvMjYBAAAAlnd8AQIAAAAHMjkuODI4OAB9XHOC2eveCPSXUbDZ694II0NJUS5JUVQ0NjE5NTQ5MS5JUV9DRFNfTUlELjE2LzA3LzI2AQAAAGlKAAACAAAABzU0LjkzMzQA575zgtnr3gie5lGw2eveCCNDSVEuSVFUNzk2MzQ5MDEuSVFfQ0RTX01JRC4xNi8wNy8yNgEAAACcBhAAAgAAAAc0MS4wNTI1AJoNdILZ694IlFtSsNnr3ggjQ0lRLklRVDQ2MjA3NTcxLklRX0NEU19NSUQuMTMvMDcvMjYBAAAAbe81AAIAAAAHMjkuMTUyNwBMNXOC2eveCBVVVbDZ694II0NJUS5JUVQ0NjIxMzQ3Mi5JUV9DRFNfTUlELjEzLzA3LzI2AQAAALlaOAACAAAABjE0Ljk3MwBwl3OC2eveCCyjVbDZ694IJENJUS5JUVQyNjMyMTMxMzIuSVFfQ0RTX01JRC4xMy8wNy8yNgEAAADhmggAAgAAAAc1NS4zMjk3AJoNdILZ694IVPFVsNnr3ggjQ0lRLklRVDQ2MTk0OTk1LklRX0NEU19NSUQuMjcvMDcvMjYBAAAA</t>
  </si>
  <si>
    <t>bhAxAAIAAAAHMTEuMTgyNABMNXOC2eveCJKaV7DZ694II0NJUS5JUVQ0NjIyMjI5Mi5JUV9DRFNfTUlELjI3LzA3LzI2AQAAANGRmwECAAAACDc3Ny4xNjI0AICDc4LZ694IKf9XsNnr3ggjQ0lRLklRVDQ2MjI1MDA2LklRX0NEU19NSUQuMjcvMDcvMjYBAAAA+FUNAAIAAAAGNDQuNzEyAJLmc4LZ694IPk1YsNnr3ggjQ0lRLklRVDQ2MjIwMzI5LklRX0NEU19NSUQuMjcvMDcvMjYBAAAA21sAAAIAAAAGNTYuNjc0ANbv7IHZ694I78FYsNnr3ggjQ0lRLklRVDQ2MjYyMzc4LklRX0NEU19NSUQuMjQvMDcvMjYBAAAAQNKJAQIAAAACMTgAfVxzgtnr3gjSUUWw2eveCCNDSVEuSVFUNDYxOTc2OTQuSVFfQ0RTX01JRC4yNC8wNy8yNgEAAAAH+gUAAgAAAAc1My45ODY4AOe+c4LZ694Ip4JGsNnr3ggjQ0lRLklRVDYyMjcwMTA3LklRX0NEU19NSUQuMjQvMDcvMjYBAAAAFVkAAAIAAAAHNDIuNDExNQCaDXSC2eveCGrnRrDZ694II0NJUS5JUVQ0NjIwNzMwOC5JUV9DRFNfTUlELjI2LzA3LzI2AQAAADmJegECAAAABzE0LjU2MjUATDVzgtnr3gj66Fiw2eveCCNDSVEuSVFUNDYyMTAwMzIuSVFfQ0RTX01JRC4yNi8wNy8yNgEAAACPVaMBAgAAAAczOC4xOTQ1AHCXc4LZ694IjUxZsNnr3ggjQ0lRLklRVDQ2MjI1Mzc0LklRX0NEU19NSUQuMjYvMDcvMjYBAAAAtdYFAAIAAAAHMzkuNTU0NACS5nOC2eveCDmcWbDZ</t>
  </si>
  <si>
    <t>694II0NJUS5JUVQ0OTc1MTE5Ni5JUV9DRFNfTUlELjI1LzA3LzI2AQAAAM2ZvQACAAAABzQwLjU3MDYATg5zgtnr3giXE0Sw2eveCCNDSVEuSVFUNjAzODk1MTYuSVFfQ0RTX01JRC4yNS8wNy8yNgEAAACl8MMBAgAAAAY3LjI0NzEAgINzgtnr3giXE0Sw2eveCCRDSVEuSVFUMzIzNjgwMTMwLklRX0NEU19NSUQuMjUvMDcvMjYBAAAAceECAAIAAAAHNTIuNDkzOACS5nOC2eveCNJRRbDZ694IJENJUS5JUVQzMTMzMTU0MjkuSVFfQ0RTX01JRC4yNS8wNy8yNgEAAAA55wUAAgAAAAc2Mi41MDY3ANbv7IHZ694I0lFFsNnr3ggjQ0lRLklRVDQ2MjA2Nzc5LklRX0NEU19NSUQuMjMvMDcvMjYBAAAA/O82AAIAAAAHMTYuMzMzMwB9XHOC2eveCElaR7DZ694II0NJUS5JUVQ0NjIxODY3NC5JUV9DRFNfTUlELjIzLzA3LzI2AQAAAFfKNgACAAAACDEzMy42MTA4AOe+c4LZ694IYahHsNnr3ggjQ0lRLklRVDQ2MjI1NzE1LklRX0NEU19NSUQuMjMvMDcvMjYBAAAAt+UEAAIAAAAHNDMuNDQwNwCaDXSC2eveCJL/R7DZ694II0NJUS5JUVQ0NjIwNDg4NC5JUV9DRFNfTUlELjE0LzA3LzI2AQAAAIFRwAECAAAABzI5LjM1MDcATDVzgtnr3gjZBFSw2eveCCNDSVEuSVFUNDYyMDc3ODkuSVFfQ0RTX01JRC4xNC8wNy8yNgEAAAAqWKMBAgAAAAcyNi41ODg2AHCXc4LZ694IYlRUsNnr3ggkQ0lRLklRVDI4NjA5NjEzMS5J</t>
  </si>
  <si>
    <t>UV9DRFNfTUlELjE0LzA3LzI2AQAAADvxBAACAAAABzYwLjkwMDcAkuZzgtnr3gjnuFSw2eveCCNDSVEuSVFUNDYyMTA1NjAuSVFfQ0RTX01JRC4yNy8wNC8yNgEAAAD2GjcAAgAAAAc4OC45NDM3AE4Oc4LZ694ImFZWsNnr3ggjQ0lRLklRVDQ2MjE5OTIyLklRX0NEU19NSUQuMjcvMDQvMjYBAAAA1kc5AQIAAAAGOC4wODMzAICDc4LZ694I+KNWsNnr3ggjQ0lRLklRVDQ2MjIzNjQ2LklRX0NEU19NSUQuMjcvMDQvMjYBAAAAG3gEAAIAAAAHNTQuMzY1OADnvnOC2eveCG8jV7DZ694IJENJUS5JUVQzMTMzMTQ5NzYuSVFfQ0RTX01JRC4yNy8wNC8yNgEAAABtSgAAAgAAAAI1NQDW7+yB2eveCIdzV7DZ694II0NJUS5JUVQ0NjIxODUxNi5JUV9DRFNfTUlELjIyLzA3LzI2AQAAAKZVowECAAAABzM1LjExNTgAfVxzgtnr3gi5Y0iw2eveCCNDSVEuSVFUNDYyMjA4MDMuSVFfQ0RTX01JRC4yMi8wNy8yNgEAAADWyTYAAgAAAAc0My4wODQxAOe+c4LZ694ISipKsNnr3ggjQ0lRLklRVDQ2MjAwMzY0LklRX0NEU19NSUQuMjIvMDcvMjYBAAAAV4YIAAIAAAAEMjUuMQCaDXSC2eveCBigSrDZ694II0NJUS5JUVQ0NjIwNDMwMC5JUV9DRFNfTUlELjE3LzA3LzI2AQAAAPYlfQACAAAABjcuMTAwOQBMNXOC2eveCK0IULDZ694II0NJUS5JUVQ2MDM4ODA1Ny5JUV9DRFNfTUlELjE3LzA3LzI2AQAAAN/JfQEDAAAAAABw</t>
  </si>
  <si>
    <t>l3OC2eveCK0IULDZ694II0NJUS5JUVQ0NjE5OTg0MS5JUV9DRFNfTUlELjE3LzA3LzI2AQAAAOswBgADAAAAAACS5nOC2eveCG3NULDZ694IJENJUS5JUVQzMTMzMTAxODQuSVFfQ0RTX01JRC4xNS8wNy8yNgEAAABgRD4AAgAAAAcxMS4xNDQ0AE4Oc4LZ694IToNSsNnr3ggjQ0lRLklRVDQ2MjE0ODc5LklRX0NEU19NSUQuMTUvMDcvMjYBAAAA9Ro3AAIAAAAHNTAuNTUzNQCAg3OC2eveCGzRUrDZ694II0NJUS5JUVQ0NjQ3MDg3Ny5JUV9DRFNfTUlELjE1LzA3LzI2AQAAAEI3BwACAAAABzU3LjIzNjgA575zgtnr3ggmOlOw2eveCCRDSVEuSVFUMzEzMzEwODU0LklRX0NEU19NSUQuMTUvMDcvMjYBAAAAr1QNAAIAAAAENjEuNQDW7+yB2eveCG64U7DZ694II0NJUS5JUVQ0NjIxNDk1NC5JUV9DRFNfTUlELjI3LzA3LzI1AQAAADo9OQECAAAABjIyLjg3NQB9XHOC2eveCM2YTbDZ694II0NJUS5JUVQ0NjIwODYzNC5JUV9DRFNfTUlELjI3LzA3LzI1AQAAAAMfwgACAAAABzIyLjU3NDMAcJdzgtnr3giM/E2w2eveCCNDSVEuSVFUNDYyMjUwODMuSVFfQ0RTX01JRC4yNy8wNy8yNQEAAABWRAYAAgAAAAc0Mi4yODEyAJoNdILZ694IUEtOsNnr3ggjQ0lRLklRVDQ2MjAzNzE0LklRX0NEU19NSUQuMjEvMDcvMjYBAAAAXwU1AAIAAAAFMzEuNDUATDVzgtnr3ggy7kqw2eveCCNDSVEuSVFUNzk2Mzk5NTMuSVFf</t>
  </si>
  <si>
    <t>Q0RTX01JRC4yMS8wNy8yNgEAAAA0m1YBAgAAAAcyNC45MjUyAHCXc4LZ694IUDxLsNnr3ggkQ0lRLklRVDUyODkzNjgxMi5JUV9DRFNfTUlELjIxLzA3LzI2AQAAAGxbBgACAAAABzQ3LjAxNzQAkuZzgtnr3givpEuw2eveCCNDSVEuSVFUNDYxOTcxMzguSVFfQ0RTX01JRC4yMC8wNy8yNgEAAADulDgBAgAAAAgxMjQuMDMwNABODnOC2eveCJ2tTrDZ694II0NJUS5JUVQ1MTAyMzQ4MC5JUV9DRFNfTUlELjIwLzA3LzI2AQAAAMJF8QECAAAABTQuNjk2AICDc4LZ694IevxOsNnr3ggjQ0lRLklRVDQ2MjA0OTU3LklRX0NEU19NSUQuMjAvMDcvMjYBAAAAIRUGAAIAAAAHNTUuMjI2NQDnvnOC2eveCPt3T7DZ694II0NJUS5JUVQ2MjI3MDEwNi5JUV9DRFNfTUlELjIwLzA3LzI2AQAAAK13gwACAAAABjc0LjYyMgDW7+yB2eveCAyjT7DZ694II0NJUS5JUVQ3OTY0MDAyNC5JUV9DRFNfTUlELjE5LzA3LzI2AQAAADWPmwECAAAABjcuODMzMwB9XHOC2eveCLljSLDZ694IJENJUS5JUVQzMTMzMDU4NzkuSVFfQ0RTX01JRC4xOS8wNy8yNgEAAACE1twBAgAAAAYyLjMzMzQAcJdzgtnr3gi5Y0iw2eveCCNDSVEuSVFUNDYyMDA0MTIuSVFfQ0RTX01JRC4xOS8wNy8yNgEAAABjQwYAAgAAAAc0NS44MzMzAJoNdILZ694IuWNIsNnr3ggjQ0lRLklRVDQ2MjAzMzMyLklRX0NEU19NSUQuMTgvMDcvMjYBAAAAXx43AAIA</t>
  </si>
  <si>
    <t>AAAHMTEuMTY2NwBMNXOC2eveCMUiTLDZ694II0NJUS5JUVQ0NjIxNTExMS5JUV9DRFNfTUlELjE4LzA3LzI2AQAAAKBLsgECAAAABzM3LjY5MTUAcJdzgtnr3ghhl0yw2eveCCNDSVEuSVFUNDYyMjYxMzIuSVFfQ0RTX01JRC4xOC8wNy8yNgEAAADdWQAAAgAAAAc0My44ODExAJLmc4LZ694IywBNsNnr3ggkQ0lRLklRVDMxMzMxMzUyNC5JUV9DRFNfTUlELjE4LzA3LzI2AQAAAO9VDQACAAAABzYwLjAwNjYA1u/sgdnr3gj8SU2w2eveCCRDSVEuSVFUMzEzMzE1NDI5LklRX0NEU19NSUQuMjcvMDQvMjYBAAAAOecFAAIAAAAHNjEuMDAxMwDW7+yB2eveCIdzV7DZ694II0NJUS5JUVQ0NjIwNjc3OS5JUV9DRFNfTUlELjIyLzA3LzI2AQAAAPzvNgACAAAABzE2LjAxOTkAfVxzgtnr3gi5Y0iw2eveCCNDSVEuSVFUNDYyMTg2NzQuSVFfQ0RTX01JRC4yMi8wNy8yNgEAAABXyjYAAgAAAAgxMjkuNTg5NwDnvnOC2eveCGVRSrDZ694II0NJUS5JUVQ0NjIyNTcxNS5JUV9DRFNfTUlELjIyLzA3LzI2AQAAALflBAACAAAABjQzLjQyNgCaDXSC2eveCBigSrDZ694II0NJUS5JUVQ0NjIwNDg4NC5JUV9DRFNfTUlELjE3LzA3LzI2AQAAAIFRwAECAAAABjI5LjYyNQBMNXOC2eveCK0IULDZ694II0NJUS5JUVQ0NjIwNzc4OS5JUV9DRFNfTUlELjE3LzA3LzI2AQAAACpYowECAAAABzI2LjY4NzkAcJdzgtnr3gitCFCw</t>
  </si>
  <si>
    <t>2eveCCRDSVEuSVFUMjg2MDk2MTMxLklRX0NEU19NSUQuMTcvMDcvMjYBAAAAO/EEAAIAAAAHNjAuNjY2NwCS5nOC2eveCG3NULDZ694II0NJUS5JUVQ0NjIxMDU2MC5JUV9DRFNfTUlELjE1LzA3LzI2AQAAAPYaNwACAAAABzg1LjQzNjgATg5zgtnr3ghOg1Kw2eveCCNDSVEuSVFUNDYyMTk5MjIuSVFfQ0RTX01JRC4xNS8wNy8yNgEAAADWRzkBAgAAAAY2LjgzMjIAgINzgtnr3ghs0VKw2eveCCNDSVEuSVFUNDYyMjM2NDYuSVFfQ0RTX01JRC4xNS8wNy8yNgEAAAAbeAQAAgAAAAc0OS43ODgxAOe+c4LZ694IJjpTsNnr3ggkQ0lRLklRVDMxMzMxNDk3Ni5JUV9DRFNfTUlELjE1LzA3LzI2AQAAAG1KAAACAAAABDU2LjUA1u/sgdnr3ghuuFOw2eveCCNDSVEuSVFUNDYyMTQ4NzkuSVFfQ0RTX01JRC4yMC8wNy8yNgEAAAD1GjcAAgAAAAc1MS4wNTg0AICDc4LZ694IcCNPsNnr3ggjQ0lRLklRVDQ2MjE0OTU0LklRX0NEU19NSUQuMTkvMDcvMjYBAAAAOj05AQIAAAAEMTQuNAB9XHOC2eveCLljSLDZ694II0NJUS5JUVQ0NjIwODYzNC5JUV9DRFNfTUlELjE5LzA3LzI2AQAAAAMfwgACAAAABjIyLjgyNQBwl3OC2eveCLljSLDZ694II0NJUS5JUVQ0NjIwMzcxNC5JUV9DRFNfTUlELjE4LzA3LzI2AQAAAF8FNQACAAAABTMxLjQ1AEw1c4LZ694IxSJMsNnr3ggkQ0lRLklRVDUyODkzNjgxMi5JUV9DRFNfTUlE</t>
  </si>
  <si>
    <t>LjE4LzA3LzI2AQAAAGxbBgACAAAABzQ3Ljk1OTQAkuZzgtnr3gjLAE2w2eveCCNDSVEuSVFUNDYyMjQ3NDAuSVFfQ0RTX01JRC4yNS8wNy8yNgEAAADTcggAAgAAAAczNi42MzU0AJLmc4LZ694I0lFFsNnr3ggjQ0lRLklRVDQ2MjA3NTcxLklRX0NEU19NSUQuMTQvMDcvMjYBAAAAbe81AAIAAAAHMjkuODQ1NgBMNXOC2eveCNkEVLDZ694II0NJUS5JUVQ0NjE5NDk5NS5JUV9DRFNfTUlELjI3LzA0LzI2AQAAAG4QMQACAAAABzEzLjE4NzUATDVzgtnr3giYVlaw2eveCCNDSVEuSVFUNDYyMjIyOTIuSVFfQ0RTX01JRC4yNy8wNC8yNgEAAADRkZsBAgAAAAg3NzIuODY0NwCAg3OC2eveCAPLVrDZ694II0NJUS5JUVQ0NjIyMDMyOS5JUV9DRFNfTUlELjI3LzA0LzI2AQAAANtbAAACAAAAAjU1ANbv7IHZ694Ih3NXsNnr3ggjQ0lRLklRVDQ2MjYyMzc4LklRX0NEU19NSUQuMjIvMDcvMjYBAAAAQNKJAQIAAAAGMTguMTI1AH1cc4LZ694IM+9JsNnr3ggjQ0lRLklRVDQ2MjA3MzA4LklRX0NEU19NSUQuMTcvMDcvMjYBAAAAOYl6AQIAAAAHMTQuNTYyNQBMNXOC2eveCK0IULDZ694II0NJUS5JUVQ0NjIyNTM3NC5JUV9DRFNfTUlELjE3LzA3LzI2AQAAALXWBQACAAAABzM5LjAzNjcAkuZzgtnr3ghtzVCw2eveCCNDSVEuSVFUNDYyMjIyOTIuSVFfQ0RTX01JRC4yMC8wNy8yNgEAAADRkZsBAgAAAAc3NjEuMTQz</t>
  </si>
  <si>
    <t>AICDc4LZ694IcCNPsNnr3ggjQ0lRLklRVDQ2MTk3Njk0LklRX0NEU19NSUQuMTkvMDcvMjYBAAAAB/oFAAIAAAAHNTMuNjY5MgDnvnOC2eveCLljSLDZ694II0NJUS5JUVQ2MjI3MDEwNy5JUV9DRFNfTUlELjE5LzA3LzI2AQAAABVZAAACAAAABzQxLjMxMjUAmg10gtnr3gi5Y0iw2eveCCNDSVEuSVFUNjAzODk1MTYuSVFfQ0RTX01JRC4xNi8wNy8yNgEAAACl8MMBAgAAAAY3LjI0ODgAgINzgtnr3gj0l1Gw2eveCCNDSVEuSVFUNzk2NDAwMjQuSVFfQ0RTX01JRC4xNy8wNy8yNgEAAAA1j5sBAgAAAAY3LjgzMzMAfVxzgtnr3gitCFCw2eveCCNDSVEuSVFUNDYyMTUxMTEuSVFfQ0RTX01JRC4xNS8wNy8yNgEAAACgS7IBAgAAAAczNy4wMzg2AHCXc4LZ694IbNFSsNnr3ggjQ0lRLklRVDQ2MjAwMzE3LklRX0NEU19NSUQuMjcvMDcvMjUBAAAA/lQNAAIAAAAHNjguMjk0MgDMyOyB2eveCLmITrDZ694II0NJUS5JUVQ0NjIwMDI3Ni5JUV9DRFNfTUlELjE5LzA3LzI2AQAAAJZ3fAECAAAABzI5LjUxMDMAfVxzgtnr3gi5Y0iw2eveCCNDSVEuSVFUNjAzODk1MTYuSVFfQ0RTX01JRC4yMi8wNy8yNgEAAACl8MMBAgAAAAU3LjI0MwCAg3OC2eveCN4CSrDZ694II0NJUS5JUVQ0NjIwNjc3OS5JUV9DRFNfTUlELjE3LzA3LzI2AQAAAPzvNgACAAAABDE2LjUAfVxzgtnr3gitCFCw2eveCCRDSVEuSVFUMzEzMzE0</t>
  </si>
  <si>
    <t>OTc2LklRX0NEU19NSUQuMjcvMDcvMjUBAAAAbUoAAAIAAAAHNDEuNDQzNQDW7+yB2eveCLmITrDZ694IJENJUS5JUVQzMTMzMTA4NTQuSVFfQ0RTX01JRC4xOS8wNy8yNgEAAACvVA0AAgAAAAc2MS4xNjY3ANbv7IHZ694IuWNIsNnr3ggkQ0lRLklRVDMxMzMxNzM0NC5JUV9DRFNfTUlELjIyLzA3LzI2AQAAAPGsAQACAAAABzYwLjM4NDIA1u/sgdnr3ggjx0qw2eveCCNDSVEuSVFUNDYyMDY3NzkuSVFfQ0RTX01JRC4yNy8wNy8yNgEAAAD87zYAAgAAAAcxNi40NzI2AH1cc4LZ694IMNhXsNnr3ggjQ0lRLklRVDQ2MTk3MTM4LklRX0NEU19NSUQuMTcvMDcvMjYBAAAA7pQ4AQIAAAAIMTI1LjQ3MzIATg5zgtnr3ggMo0+w2eveCCNDSVEuSVFUNDYyMjYxMzIuSVFfQ0RTX01JRC4xMy8wNy8yNgEAAADdWQAAAgAAAAU0MS44NgCS5nOC2eveCFTxVbDZ694II0NJUS5JUVQ0NjE5NTQ5MS5JUV9DRFNfTUlELjI1LzA3LzI2AQAAAGlKAAACAAAABzU2LjQxNTkA575zgtnr3giXE0Sw2eveCCNDSVEuSVFUNjAzODk1MTYuSVFfQ0RTX01JRC4xNy8wNy8yNgEAAACl8MMBAgAAAAY3LjI0NzcAgINzgtnr3gitCFCw2eveCCRDSVEuSVFUMjg2MDk2MTMxLklRX0NEU19NSUQuMjcvMDcvMjUBAAAAO/EEAAIAAAAHNjEuOTI0NACS5nOC2eveCFBLTrDZ694II0NJUS5JUVQ0NjIwNDMwMC5JUV9DRFNfTUlELjE5LzA3LzI2</t>
  </si>
  <si>
    <t>AQAAAPYlfQACAAAABjcuMTAwOQBMNXOC2eveCLljSLDZ694II0NJUS5JUVQ3OTYzOTkxMy5JUV9DRFNfTUlELjE2LzA3LzI2AQAAACBjHAICAAAABjcuODMzMwB9XHOC2eveCPSXUbDZ694II0NJUS5JUVQ0NjIwNzg3Mi5JUV9DRFNfTUlELjE2LzA3LzI2AQAAAFgNCgACAAAABzQwLjQ2NjcA575zgtnr3gie5lGw2eveCCNDSVEuSVFUNDYyMDAzMTcuSVFfQ0RTX01JRC4xNi8wNy8yNgEAAAD+VA0AAgAAAAY2My41OTUAzMjsgdnr3giUW1Kw2eveCCRDSVEuSVFUNjQ0NzAxNzk3LklRX0NEU19NSUQuMTMvMDcvMjYBAAAAUz99AQIAAAAGOS45OTY4AEw1c4LZ694IFVVVsNnr3ggjQ0lRLklRVDQ2MjE2OTg2LklRX0NEU19NSUQuMTMvMDcvMjYBAAAAzkQ4AQMAAAAAAHCXc4LZ694ILKNVsNnr3ggkQ0lRLklRVDI1NDk1NTIzMy5JUV9DRFNfTUlELjEzLzA3LzI2AQAAADlWCgACAAAABDQzLjEAmg10gtnr3ghoGFaw2eveCCNDSVEuSVFUNDYxOTYyMjUuSVFfQ0RTX01JRC4yNy8wNy8yNgEAAAC+VaMBAgAAAAcxNy41NTI0AEw1c4LZ694IkppXsNnr3ggjQ0lRLklRVDUxMDIzMjYwLklRX0NEU19NSUQuMjcvMDcvMjYBAAAAsRF/AQIAAAAHMTQuNjgxNgCAg3OC2eveCCn/V7DZ694II0NJUS5JUVQ0NjIyNDc0MC5JUV9DRFNfTUlELjI3LzA3LzI2AQAAANNyCAACAAAABzM2LjYzNTQAkuZzgtnr3gg+TViw2eve</t>
  </si>
  <si>
    <t>CCRDSVEuSVFUMzEzMzE3MzQ0LklRX0NEU19NSUQuMjcvMDcvMjYBAAAA8awBAAIAAAAHNjEuMjkyOADW7+yB2eveCO/BWLDZ694II0NJUS5JUVQ0NjIwMDI3Ni5JUV9DRFNfTUlELjI0LzA3LzI2AQAAAJZ3fAECAAAABzI5LjI1NjMAfVxzgtnr3gjSUUWw2eveCCNDSVEuSVFUNDYxOTU0OTEuSVFfQ0RTX01JRC4yNC8wNy8yNgEAAABpSgAAAgAAAAc1Ni40MTU5AOe+c4LZ694Ip4JGsNnr3ggjQ0lRLklRVDc5NjM0OTAxLklRX0NEU19NSUQuMjQvMDcvMjYBAAAAnAYQAAIAAAAHNDEuMjE0NgCaDXSC2eveCGrnRrDZ694II0NJUS5JUVQ0NjIwNzU3MS5JUV9DRFNfTUlELjI2LzA3LzI2AQAAAG3vNQACAAAABDMwLjUATDVzgtnr3gj66Fiw2eveCCNDSVEuSVFUNDYyMTM0NzIuSVFfQ0RTX01JRC4yNi8wNy8yNgEAAAC5WjgAAgAAAAYxNS40MTIAcJdzgtnr3giNTFmw2eveCCRDSVEuSVFUMjYzMjEzMTMyLklRX0NEU19NSUQuMjYvMDcvMjYBAAAA4ZoIAAIAAAAHNTYuNTM5MQCaDXSC2eveCMnBWbDZ694II0NJUS5JUVQ0NjE5NDk5NS5JUV9DRFNfTUlELjI1LzA3LzI2AQAAAG4QMQACAAAABzExLjE4MjQATDVzgtnr3giXE0Sw2eveCCNDSVEuSVFUNDYyMjIyOTIuSVFfQ0RTX01JRC4yNS8wNy8yNgEAAADRkZsBAgAAAAg3NzcuMTYyNACAg3OC2eveCJcTRLDZ694II0NJUS5JUVQ0NjIyNTAwNi5JUV9DRFNf</t>
  </si>
  <si>
    <t>TUlELjI1LzA3LzI2AQAAAPhVDQACAAAABjQ0LjcxMgCS5nOC2eveCNJRRbDZ694II0NJUS5JUVQ0NjIyMDMyOS5JUV9DRFNfTUlELjI1LzA3LzI2AQAAANtbAAACAAAABjU2LjY3NADW7+yB2eveCNJRRbDZ694II0NJUS5JUVQ0NjI2MjM3OC5JUV9DRFNfTUlELjIzLzA3LzI2AQAAAEDSiQECAAAABjE4LjEyNQB9XHOC2eveCElaR7DZ694II0NJUS5JUVQ0NjE5NzY5NC5JUV9DRFNfTUlELjIzLzA3LzI2AQAAAAf6BQACAAAABzUzLjQ1ODYA575zgtnr3ghhqEew2eveCCNDSVEuSVFUNjIyNzAxMDcuSVFfQ0RTX01JRC4yMy8wNy8yNgEAAAAVWQAAAgAAAAY0Mi4zNDEAmg10gtnr3giS/0ew2eveCCNDSVEuSVFUNDYyMDczMDguSVFfQ0RTX01JRC4xNC8wNy8yNgEAAAA5iXoBAgAAAAQxNC41AEw1c4LZ694I2QRUsNnr3ggjQ0lRLklRVDQ2MjEwMDMyLklRX0NEU19NSUQuMTQvMDcvMjYBAAAAj1WjAQIAAAAFMzcuMDUAcJdzgtnr3ghiVFSw2eveCCNDSVEuSVFUNDYyMjUzNzQuSVFfQ0RTX01JRC4xNC8wNy8yNgEAAAC11gUAAgAAAAczOC43NjU2AJoNdILZ694I57hUsNnr3ggjQ0lRLklRVDQ5NzUxMTk2LklRX0NEU19NSUQuMjcvMDQvMjYBAAAAzZm9AAIAAAAHMzguNjM0OABMNXOC2eveCJhWVrDZ694II0NJUS5JUVQ2MDM4OTUxNi5JUV9DRFNfTUlELjI3LzA0LzI2AQAAAKXwwwECAAAABTcuODgxAICD</t>
  </si>
  <si>
    <t>c4LZ694IA8tWsNnr3ggkQ0lRLklRVDMyMzY4MDEzMC5JUV9DRFNfTUlELjI3LzA0LzI2AQAAAHHhAgACAAAABzU1LjM1MjMAkuZzgtnr3ghvI1ew2eveCCNDSVEuSVFUNDYyMTg1MTYuSVFfQ0RTX01JRC4yNy8wNy8yNQEAAACmVaMBAgAAAAczMy40MzExAH1cc4LZ694IzZhNsNnr3ggjQ0lRLklRVDQ2MjIwODAzLklRX0NEU19NSUQuMjcvMDcvMjUBAAAA1sk2AAIAAAAHNDEuMDkzOADnvnOC2eveCIz8TbDZ694II0NJUS5JUVQ0NjIwMDM2NC5JUV9DRFNfTUlELjI3LzA3LzI1AQAAAFeGCAACAAAABzM2Ljk1NDMAmg10gtnr3ghQS06w2eveCCNDSVEuSVFUNDYyMDQzMDAuSVFfQ0RTX01JRC4yMS8wNy8yNgEAAAD2JX0AAgAAAAQ3LjEyAEw1c4LZ694IMu5KsNnr3ggjQ0lRLklRVDYwMzg4MDU3LklRX0NEU19NSUQuMjEvMDcvMjYBAAAA38l9AQMAAAAAAHCXc4LZ694IUDxLsNnr3ggjQ0lRLklRVDQ2MTk5ODQxLklRX0NEU19NSUQuMjEvMDcvMjYBAAAA6zAGAAMAAAAAAJLmc4LZ694Ir6RLsNnr3ggkQ0lRLklRVDMxMzMxMDE4NC5JUV9DRFNfTUlELjIwLzA3LzI2AQAAAGBEPgACAAAABjExLjA0NQBODnOC2eveCJ2tTrDZ694II0NJUS5JUVQ0NjQ3MDg3Ny5JUV9DRFNfTUlELjIwLzA3LzI2AQAAAEI3BwACAAAABzU4LjE3NzgA575zgtnr3gj7d0+w2eveCCRDSVEuSVFUMzEzMzEwODU0LklRX0NEU19N</t>
  </si>
  <si>
    <t>SUQuMjAvMDcvMjYBAAAAr1QNAAIAAAAHNjEuMTY2NwDW7+yB2eveCAyjT7DZ694II0NJUS5JUVQ0NjIyNTA4My5JUV9DRFNfTUlELjE5LzA3LzI2AQAAAFZEBgACAAAABDM2LjUAmg10gtnr3gi5Y0iw2eveCCNDSVEuSVFUNzk2Mzk5NTMuSVFfQ0RTX01JRC4xOC8wNy8yNgEAAAA0m1YBAgAAAAcyNC45NDI4AHCXc4LZ694IYZdMsNnr3ggjQ0lRLklRVDQ2MjAwMjc2LklRX0NEU19NSUQuMjMvMDcvMjYBAAAAlnd8AQIAAAAHMjkuMjU3NAB9XHOC2eveCElaR7DZ694II0NJUS5JUVQ0NjE5NzY5NC5JUV9DRFNfTUlELjIyLzA3LzI2AQAAAAf6BQACAAAABjUyLjc1NADnvnOC2eveCGVRSrDZ694II0NJUS5JUVQ0NjIxMDAzMi5JUV9DRFNfTUlELjE3LzA3LzI2AQAAAI9VowECAAAABzM3LjMwNTEAcJdzgtnr3gitCFCw2eveCCNDSVEuSVFUNDk3NTExOTYuSVFfQ0RTX01JRC4xNS8wNy8yNgEAAADNmb0AAgAAAAU0MS43NQBMNXOC2eveCE6DUrDZ694IJENJUS5JUVQzMjM2ODAxMzAuSVFfQ0RTX01JRC4xNS8wNy8yNgEAAABx4QIAAgAAAAY1MS44NjIAkuZzgtnr3ggmOlOw2eveCCRDSVEuSVFUMzEzMzE1NDI5LklRX0NEU19NSUQuMTUvMDcvMjYBAAAAOecFAAIAAAAHNjIuNTA2NgDW7+yB2eveCG64U7DZ694II0NJUS5JUVQ0NjIwNjc3OS5JUV9DRFNfTUlELjI3LzA3LzI1AQAAAPzvNgACAAAABzI3LjA1</t>
  </si>
  <si>
    <t>ODYAfVxzgtnr3gjNmE2w2eveCCNDSVEuSVFUNDYyMTg2NzQuSVFfQ0RTX01JRC4yNy8wNy8yNQEAAABXyjYAAgAAAAgxODUuNzYzNQDnvnOC2eveCIz8TbDZ694II0NJUS5JUVQ0NjIyNTcxNS5JUV9DRFNfTUlELjI3LzA3LzI1AQAAALflBAACAAAABzM2LjA1MzMAmg10gtnr3ghQS06w2eveCCNDSVEuSVFUNDYyMDQ4ODQuSVFfQ0RTX01JRC4yMS8wNy8yNgEAAACBUcABAgAAAAYyOS42MjUATDVzgtnr3ggy7kqw2eveCCNDSVEuSVFUNDYyMDc3ODkuSVFfQ0RTX01JRC4yMS8wNy8yNgEAAAAqWKMBAgAAAAcyNi43MTM3AHCXc4LZ694IUDxLsNnr3ggkQ0lRLklRVDI4NjA5NjEzMS5JUV9DRFNfTUlELjIxLzA3LzI2AQAAADvxBAACAAAABTU5Ljc1AJLmc4LZ694ILc1LsNnr3ggjQ0lRLklRVDQ2MjEwNTYwLklRX0NEU19NSUQuMjAvMDcvMjYBAAAA9ho3AAIAAAAHODYuMTIxNwBODnOC2eveCJ2tTrDZ694II0NJUS5JUVQ0NjIxOTkyMi5JUV9DRFNfTUlELjIwLzA3LzI2AQAAANZHOQECAAAABjYuNzAyOQCAg3OC2eveCHAjT7DZ694II0NJUS5JUVQ0NjIyMzY0Ni5JUV9DRFNfTUlELjIwLzA3LzI2AQAAABt4BAACAAAABjQ5LjQzMQDnvnOC2eveCPt3T7DZ694II0NJUS5JUVQ0NjIxODUxNi5JUV9DRFNfTUlELjE5LzA3LzI2AQAAAKZVowECAAAABzM1LjQxNzIAfVxzgtnr3gi5Y0iw2eveCCNDSVEuSVFU</t>
  </si>
  <si>
    <t>NDYyMDAzNjQuSVFfQ0RTX01JRC4xOS8wNy8yNgEAAABXhggAAgAAAAUyNS4xNgCaDXSC2eveCLljSLDZ694II0NJUS5JUVQ0NjIwNDMwMC5JUV9DRFNfTUlELjE4LzA3LzI2AQAAAPYlfQACAAAABjcuMTAwOQBMNXOC2eveCN5JTLDZ694II0NJUS5JUVQ0NjIwNzc4OS5JUV9DRFNfTUlELjE4LzA3LzI2AQAAACpYowECAAAABzI2LjY4NzkAcJdzgtnr3ghhl0yw2eveCCRDSVEuSVFUMjg2MDk2MTMxLklRX0NEU19NSUQuMTgvMDcvMjYBAAAAO/EEAAIAAAAHNjAuNjY2NwCS5nOC2eveCMsATbDZ694II0NJUS5JUVQ0NjIxNTExMS5JUV9DRFNfTUlELjI3LzA0LzI2AQAAAKBLsgECAAAABzQ0LjA5MTcAcJdzgtnr3ggDy1aw2eveCCRDSVEuSVFUMzEzMzEzNTI0LklRX0NEU19NSUQuMjcvMDQvMjYBAAAA71UNAAIAAAAHNTMuOTM5NwDW7+yB2eveCIdzV7DZ694II0NJUS5JUVQ3OTYzNDkwMS5JUV9DRFNfTUlELjI3LzA3LzI1AQAAAJwGEAACAAAABzU0LjUyOTkAzMjsgdnr3ghQS06w2eveCCNDSVEuSVFUNDYxOTQ5OTUuSVFfQ0RTX01JRC4yMC8wNy8yNgEAAABuEDEAAgAAAAYxMC45OTUATDVzgtnr3gidrU6w2eveCCNDSVEuSVFUNDYyMDQ5NTcuSVFfQ0RTX01JRC4yMi8wNy8yNgEAAAAhFQYAAgAAAAQ1NC44AOe+c4LZ694IZVFKsNnr3ggkQ0lRLklRVDMxMzMwNTg3OS5JUV9DRFNfTUlELjE3LzA3LzI2</t>
  </si>
  <si>
    <t>AQAAAITW3AECAAAABjIuMzMzNABwl3OC2eveCK0IULDZ694II0NJUS5JUVQ3OTYzOTkxMy5JUV9DRFNfTUlELjI3LzA3LzI1AQAAACBjHAICAAAABjguNzc5NQCAg3OC2eveCM2/TbDZ694IJENJUS5JUVQyNTQ5NTUyMzMuSVFfQ0RTX01JRC4yMS8wNy8yNgEAAAA5VgoAAgAAAAc0Mi43NDM4AJoNdILZ694IrdJLsNnr3ggjQ0lRLklRVDc5NjM5OTEzLklRX0NEU19NSUQuMjEvMDcvMjYBAAAAIGMcAgIAAAAFOC4xMjUAfVxzgtnr3ghQPEuw2eveCCNDSVEuSVFUNDYxOTYyMjUuSVFfQ0RTX01JRC4xOS8wNy8yNgEAAAC+VaMBAgAAAAYxNy4zNzUATDVzgtnr3gi5Y0iw2eveCCRDSVEuSVFUMzEzMzE3MzQ0LklRX0NEU19NSUQuMTkvMDcvMjYBAAAA8awBAAIAAAAHNjAuODEyMwDW7+yB2eveCLljSLDZ694II0NJUS5JUVQ3OTYzNDkwMS5JUV9DRFNfTUlELjE4LzA3LzI2AQAAAJwGEAACAAAABzQxLjA0MjUAmg10gtnr3gj9Ik2w2eveCCNDSVEuSVFUNjIyNzAxMDYuSVFfQ0RTX01JRC4xOC8wNy8yNgEAAACtd4MAAgAAAAc3NS4yMTgxANbv7IHZ694I/SJNsNnr3ggjQ0lRLklRVDQ2MjAwMzE3LklRX0NEU19NSUQuMjcvMDcvMjYBAAAA/lQNAAIAAAAHNjIuMzg0MQDMyOyB2eveCF6bWLDZ694II0NJUS5JUVQ0NjIxMzQ3Mi5JUV9DRFNfTUlELjIzLzA3LzI2AQAAALlaOAACAAAABzE1LjA4MDUAcJdzgtnr</t>
  </si>
  <si>
    <t>3ghhqEew2eveCCNDSVEuSVFUNDYxOTQ5OTUuSVFfQ0RTX01JRC4xNC8wNy8yNgEAAABuEDEAAgAAAAIxMQBMNXOC2eveCNbeU7DZ694II0NJUS5JUVQ0NjIyMDMyOS5JUV9DRFNfTUlELjE0LzA3LzI2AQAAANtbAAACAAAABDU2LjUA1u/sgdnr3gj7BlWw2eveCCNDSVEuSVFUNDYxOTc2OTQuSVFfQ0RTX01JRC4yNy8wNC8yNgEAAAAH+gUAAgAAAAc1Ny43NTYxAOe+c4LZ694IafhWsNnr3ggjQ0lRLklRVDQ2MjA3MzA4LklRX0NEU19NSUQuMjIvMDcvMjYBAAAAOYl6AQIAAAAHMTQuNTYyNQBMNXOC2eveCLljSLDZ694II0NJUS5JUVQ0OTc1MTE5Ni5JUV9DRFNfTUlELjE3LzA3LzI2AQAAAM2ZvQACAAAABzQxLjgzMzMATDVzgtnr3gitCFCw2eveCCNDSVEuSVFUNDYyMDY3NzkuSVFfQ0RTX01JRC4xNS8wNy8yNgEAAAD87zYAAgAAAAcxNi41ODM3AH1cc4LZ694IbNFSsNnr3ggjQ0lRLklRVDQ2MjEwNTYwLklRX0NEU19NSUQuMjEvMDcvMjYBAAAA9ho3AAIAAAAHODUuNjU3NwBODnOC2eveCDLuSrDZ694II0NJUS5JUVQ0NjIyMzY0Ni5JUV9DRFNfTUlELjIxLzA3LzI2AQAAABt4BAACAAAABjQ5LjAwMwDnvnOC2eveCK+kS7DZ694IJENJUS5JUVQzMTMzMTAxODQuSVFfQ0RTX01JRC4xOC8wNy8yNgEAAABgRD4AAgAAAAcxMS4wOTg3AE4Oc4LZ694IxSJMsNnr3ggjQ0lRLklRVDQ2MTk3MTM4LklRX0NE</t>
  </si>
  <si>
    <t>U19NSUQuMTYvMDcvMjYBAAAA7pQ4AQIAAAAIMTIzLjY0NDMATg5zgtnr3ghtzVCw2eveCCNDSVEuSVFUNTEwMjM0ODAuSVFfQ0RTX01JRC4xNi8wNy8yNgEAAADCRfEBAgAAAAY0Ljc5MjcAgINzgtnr3gj0l1Gw2eveCCNDSVEuSVFUNDYyMDQ5NTcuSVFfQ0RTX01JRC4xNi8wNy8yNgEAAAAhFQYAAgAAAAY1NS4wMTIA575zgtnr3gie5lGw2eveCCNDSVEuSVFUNjIyNzAxMDYuSVFfQ0RTX01JRC4xNi8wNy8yNgEAAACtd4MAAgAAAAc3NS4yMTM1ANbv7IHZ694IlFtSsNnr3ggjQ0lRLklRVDc5NjQwMDI0LklRX0NEU19NSUQuMTMvMDcvMjYBAAAANY+bAQIAAAADNy44AH1cc4LZ694IFVVVsNnr3ggkQ0lRLklRVDMxMzMwNTg3OS5JUV9DRFNfTUlELjEzLzA3LzI2AQAAAITW3AECAAAABjIuMzMzNABwl3OC2eveCCyjVbDZ694II0NJUS5JUVQ0NjIwMDQxMi5JUV9DRFNfTUlELjEzLzA3LzI2AQAAAGNDBgACAAAABzQ2LjQzMjUAmg10gtnr3ghoGFaw2eveCCNDSVEuSVFUNDYyMDMzMzIuSVFfQ0RTX01JRC4yNy8wNy8yNgEAAABfHjcAAgAAAAcxMC44MzMzAEw1c4LZ694Iy69XsNnr3ggjQ0lRLklRVDQ2MjE1MTExLklRX0NEU19NSUQuMjcvMDcvMjYBAAAAoEuyAQIAAAAHMzguNTQ2MgBwl3OC2eveCCn/V7DZ694II0NJUS5JUVQ0NjIyNjEzMi5JUV9DRFNfTUlELjI3LzA3LzI2AQAAAN1ZAAACAAAABzQ1</t>
  </si>
  <si>
    <t>LjU3ODQAkuZzgtnr3gg+TViw2eveCCRDSVEuSVFUMzEzMzEzNTI0LklRX0NEU19NSUQuMjcvMDcvMjYBAAAA71UNAAIAAAAGNjAuNTIyANbv7IHZ694I78FYsNnr3ggjQ0lRLklRVDc5NjM5OTEzLklRX0NEU19NSUQuMjQvMDcvMjYBAAAAIGMcAgIAAAAGNy45NjI3AH1cc4LZ694I0lFFsNnr3ggjQ0lRLklRVDQ2MjA3ODcyLklRX0NEU19NSUQuMjQvMDcvMjYBAAAAWA0KAAIAAAAHNDEuMDA1MwDnvnOC2eveCKeCRrDZ694II0NJUS5JUVQ0NjIwMDMxNy5JUV9DRFNfTUlELjI0LzA3LzI2AQAAAP5UDQACAAAABzYyLjM4NDEAzMjsgdnr3ghq50aw2eveCCRDSVEuSVFUNjQ0NzAxNzk3LklRX0NEU19NSUQuMjYvMDcvMjYBAAAAUz99AQIAAAAGOS43NjI4AEw1c4LZ694I+uhYsNnr3ggjQ0lRLklRVDQ2MjE2OTg2LklRX0NEU19NSUQuMjYvMDcvMjYBAAAAzkQ4AQMAAAAAAHCXc4LZ694IjUxZsNnr3ggkQ0lRLklRVDI1NDk1NTIzMy5JUV9DRFNfTUlELjI2LzA3LzI2AQAAADlWCgACAAAABzQzLjcwNTMAmg10gtnr3gjJwVmw2eveCCNDSVEuSVFUNDYxOTYyMjUuSVFfQ0RTX01JRC4yNS8wNy8yNgEAAAC+VaMBAgAAAAcxNy41NTI0AEw1c4LZ694IlxNEsNnr3ggjQ0lRLklRVDUxMDIzMjYwLklRX0NEU19NSUQuMjUvMDcvMjYBAAAAsRF/AQIAAAAHMTQuNjgxNgCAg3OC2eveCJcTRLDZ694IJENJUS5JUVQz</t>
  </si>
  <si>
    <t>MTMzMTczNDQuSVFfQ0RTX01JRC4yNS8wNy8yNgEAAADxrAEAAgAAAAc2MS4yOTI4ANbv7IHZ694I0lFFsNnr3ggjQ0lRLklRVDQ2MTk1NDkxLklRX0NEU19NSUQuMjMvMDcvMjYBAAAAaUoAAAIAAAAHNTUuOTU3NwDnvnOC2eveCFXSR7DZ694II0NJUS5JUVQ3OTYzNDkwMS5JUV9DRFNfTUlELjIzLzA3LzI2AQAAAJwGEAACAAAABzQwLjk0OTMAmg10gtnr3giS/0ew2eveCCNDSVEuSVFUNDYyMTM0NzIuSVFfQ0RTX01JRC4xNC8wNy8yNgEAAAC5WjgAAgAAAAcxNC45NTM1AHCXc4LZ694IYlRUsNnr3ggkQ0lRLklRVDI2MzIxMzEzMi5JUV9DRFNfTUlELjE0LzA3LzI2AQAAAOGaCAACAAAABzU1LjU3MTUAmg10gtnr3gjnuFSw2eveCCNDSVEuSVFUNDYyMjUwMDYuSVFfQ0RTX01JRC4yNy8wNC8yNgEAAAD4VQ0AAgAAAAc0MS40MzIxAJLmc4LZ694IbyNXsNnr3ggjQ0lRLklRVDYyMjcwMTA3LklRX0NEU19NSUQuMjIvMDcvMjYBAAAAFVkAAAIAAAAGNDIuMDk5AJoNdILZ694IGKBKsNnr3ggjQ0lRLklRVDYwMzg5NTE2LklRX0NEU19NSUQuMTUvMDcvMjYBAAAApfDDAQIAAAAGNy4yNTAzAICDc4LZ694IbNFSsNnr3ggkQ0lRLklRVDMxMzMxNDk3Ni5JUV9DRFNfTUlELjIwLzA3LzI2AQAAAG1KAAACAAAABzU3LjgzNDkA1u/sgdnr3ggMo0+w2eveCCNDSVEuSVFUNDYyMjA4MDMuSVFfQ0RTX01JRC4xOS8w</t>
  </si>
  <si>
    <t>Ny8yNgEAAADWyTYAAgAAAAc0Mi41MDA1AOe+c4LZ694IuWNIsNnr3ggjQ0lRLklRVDYwMzg4MDU3LklRX0NEU19NSUQuMTgvMDcvMjYBAAAA38l9AQMAAAAAAHCXc4LZ694IYZdMsNnr3ggjQ0lRLklRVDQ2MTk5ODQxLklRX0NEU19NSUQuMTgvMDcvMjYBAAAA6zAGAAMAAAAAAJLmc4LZ694IywBNsNnr3ggjQ0lRLklRVDQ2MjI2MTMyLklRX0NEU19NSUQuMjcvMDQvMjYBAAAA3VkAAAIAAAAGNDQuNzA1AJLmc4LZ694IbyNXsNnr3ggjQ0lRLklRVDc5NjM5OTEzLklRX0NEU19NSUQuMjIvMDcvMjYBAAAAIGMcAgIAAAAFOC4xMjUAfVxzgtnr3ghE80mw2eveCCNDSVEuSVFUNDYyMDc4NzIuSVFfQ0RTX01JRC4yMi8wNy8yNgEAAABYDQoAAgAAAAQ0MC42AOe+c4LZ694IZVFKsNnr3ggjQ0lRLklRVDQ2MjAwMzE3LklRX0NEU19NSUQuMjIvMDcvMjYBAAAA/lQNAAIAAAAHNjEuNzE4NADMyOyB2eveCBigSrDZ694IJENJUS5JUVQ2NDQ3MDE3OTcuSVFfQ0RTX01JRC4xNy8wNy8yNgEAAABTP30BAgAAAAcxMC4zODE3AEw1c4LZ694IrQhQsNnr3ggjQ0lRLklRVDQ2MjE2OTg2LklRX0NEU19NSUQuMTcvMDcvMjYBAAAAzkQ4AQMAAAAAAHCXc4LZ694IrQhQsNnr3ggkQ0lRLklRVDI1NDk1NTIzMy5JUV9DRFNfTUlELjE3LzA3LzI2AQAAADlWCgACAAAABzQzLjMzODYAmg10gtnr3ghtzVCw2eveCCNDSVEuSVFU</t>
  </si>
  <si>
    <t>NDYxOTYyMjUuSVFfQ0RTX01JRC4xNS8wNy8yNgEAAAC+VaMBAgAAAAYxNy4zNzUATDVzgtnr3ghOg1Kw2eveCCNDSVEuSVFUNTEwMjMyNjAuSVFfQ0RTX01JRC4xNS8wNy8yNgEAAACxEX8BAgAAAAYxNC4xMjUAgINzgtnr3ghs0VKw2eveCCNDSVEuSVFUNDYyMjQ3NDAuSVFfQ0RTX01JRC4xNS8wNy8yNgEAAADTcggAAgAAAAczNC40MzQ2AJLmc4LZ694ITWVTsNnr3ggjQ0lRLklRVDQ2MjAwMjc2LklRX0NEU19NSUQuMjcvMDcvMjUBAAAAlnd8AQIAAAAHMjUuNzQ1MwB9XHOC2eveCM2/TbDZ694II0NJUS5JUVQ0NjE5NTQ5MS5JUV9DRFNfTUlELjI3LzA3LzI1AQAAAGlKAAACAAAABzUyLjkxMTQA575zgtnr3giM/E2w2eveCCNDSVEuSVFUNDYyMDc1NzEuSVFfQ0RTX01JRC4yMS8wNy8yNgEAAABt7zUAAgAAAAczMC4wMDE4AEw1c4LZ694IQBVLsNnr3ggjQ0lRLklRVDQ2MjEzNDcyLklRX0NEU19NSUQuMjEvMDcvMjYBAAAAuVo4AAIAAAAHMTUuMDMxNQBwl3OC2eveCA14S7DZ694II0NJUS5JUVQ0NjIyNTAwNi5JUV9DRFNfTUlELjIwLzA3LzI2AQAAAPhVDQACAAAABjQzLjg2NgCS5nOC2eveCPt3T7DZ694IJENJUS5JUVQzMjM2ODAxMzAuSVFfQ0RTX01JRC4xNi8wNy8yNgEAAABx4QIAAgAAAAc1MS40MzY0AJLmc4LZ694IgQ1SsNnr3ggkQ0lRLklRVDMxMzMxNTQyOS5JUV9DRFNfTUlELjE2LzA3</t>
  </si>
  <si>
    <t>LzI2AQAAADnnBQACAAAABzYyLjE2NjYA1u/sgdnr3giUW1Kw2eveCCNDSVEuSVFUNDYyMDY3NzkuSVFfQ0RTX01JRC4xMy8wNy8yNgEAAAD87zYAAgAAAAcxNi4wMjA2AH1cc4LZ694IFVVVsNnr3ggjQ0lRLklRVDQ2MjI1NzE1LklRX0NEU19NSUQuMTMvMDcvMjYBAAAAt+UEAAIAAAAHNDEuMTczNwCaDXSC2eveCGgYVrDZ694II0NJUS5JUVQ0NjIxOTkyMi5JUV9DRFNfTUlELjI0LzA3LzI2AQAAANZHOQECAAAABjYuNjg2MgCAg3OC2eveCNJRRbDZ694II0NJUS5JUVQ0NjIyMzY0Ni5JUV9DRFNfTUlELjI0LzA3LzI2AQAAABt4BAACAAAABzQ5LjkzNTQA575zgtnr3gingkaw2eveCCRDSVEuSVFUMzEzMzE0OTc2LklRX0NEU19NSUQuMjQvMDcvMjYBAAAAbUoAAAIAAAAHNTguMTY1MQDW7+yB2eveCGrnRrDZ694II0NJUS5JUVQ0NjIxODUxNi5JUV9DRFNfTUlELjI2LzA3LzI2AQAAAKZVowECAAAABjM1LjM3OAB9XHOC2eveCProWLDZ694II0NJUS5JUVQ0NjIyMDgwMy5JUV9DRFNfTUlELjI2LzA3LzI2AQAAANbJNgACAAAABzQ0LjM5MDMAcJdzgtnr3ghcdFmw2eveCCNDSVEuSVFUNDYyMDQzMDAuSVFfQ0RTX01JRC4yNS8wNy8yNgEAAAD2JX0AAgAAAAY3LjAyNjEATDVzgtnr3giXE0Sw2eveCCNDSVEuSVFUNDYxOTk4NDEuSVFfQ0RTX01JRC4yNS8wNy8yNgEAAADrMAYAAwAAAAAAkuZzgtnr3gjS</t>
  </si>
  <si>
    <t>UUWw2eveCCNDSVEuSVFUNDYyMTQ4NzkuSVFfQ0RTX01JRC4yMy8wNy8yNgEAAAD1GjcAAgAAAAc1MC45NDAyAICDc4LZ694IUoFHsNnr3ggkQ0lRLklRVDMxMzMxMDg1NC5JUV9DRFNfTUlELjIzLzA3LzI2AQAAAK9UDQACAAAABzYxLjY2NjcA1u/sgdnr3giS/0ew2eveCCNDSVEuSVFUNDYyMTQ4NzkuSVFfQ0RTX01JRC4xOC8wNy8yNgEAAAD1GjcAAgAAAAc1MC45MTM0AICDc4LZ694IRHBMsNnr3ggkQ0lRLklRVDMxMzMxMDE4NC5JUV9DRFNfTUlELjE2LzA3LzI2AQAAAGBEPgACAAAABzExLjEzMjEATg5zgtnr3ghtzVCw2eveCCNDSVEuSVFUNDYyMTQ4NzkuSVFfQ0RTX01JRC4xNi8wNy8yNgEAAAD1GjcAAgAAAAc1MC42NjIyAICDc4LZ694I9JdRsNnr3ggjQ0lRLklRVDQ2NDcwODc3LklRX0NEU19NSUQuMTYvMDcvMjYBAAAAQjcHAAIAAAAHNTcuNDU2MQDnvnOC2eveCIENUrDZ694IJENJUS5JUVQzMTMzMTA4NTQuSVFfQ0RTX01JRC4xNi8wNy8yNgEAAACvVA0AAgAAAAc2MS4xNjY3ANbv7IHZ694IlFtSsNnr3ggjQ0lRLklRVDQ2MjE0OTU0LklRX0NEU19NSUQuMTMvMDcvMjYBAAAAOj05AQIAAAAFMTQuMjUAfVxzgtnr3ggVVVWw2eveCCNDSVEuSVFUNDYyMDg2MzQuSVFfQ0RTX01JRC4xMy8wNy8yNgEAAAADH8IAAgAAAAcyMi43NzM0AHCXc4LZ694ILKNVsNnr3ggjQ0lRLklRVDQ2MjI1MDgz</t>
  </si>
  <si>
    <t>LklRX0NEU19NSUQuMTMvMDcvMjYBAAAAVkQGAAIAAAAGMzcuMzc2AJoNdILZ694IaBhWsNnr3ggjQ0lRLklRVDQ2MjAzNzE0LklRX0NEU19NSUQuMjcvMDcvMjYBAAAAXwU1AAIAAAAHMzEuNzU2MwBMNXOC2eveCMuvV7DZ694II0NJUS5JUVQ3OTYzOTk1My5JUV9DRFNfTUlELjI3LzA3LzI2AQAAADSbVgECAAAABzI0Ljg4NzEAcJdzgtnr3ggp/1ew2eveCCRDSVEuSVFUNTI4OTM2ODEyLklRX0NEU19NSUQuMjcvMDcvMjYBAAAAbFsGAAIAAAAHNDguMjk5NwCS5nOC2eveCD5NWLDZ694II0NJUS5JUVQ0NjE5NzEzOC5JUV9DRFNfTUlELjI0LzA3LzI2AQAAAO6UOAECAAAABzEyNC4zNTYATg5zgtnr3gjSUUWw2eveCCNDSVEuSVFUNTEwMjM0ODAuSVFfQ0RTX01JRC4yNC8wNy8yNgEAAADCRfEBAgAAAAY0LjY4ODUAgINzgtnr3gjSUUWw2eveCCNDSVEuSVFUNDYyMDQ5NTcuSVFfQ0RTX01JRC4yNC8wNy8yNgEAAAAhFQYAAgAAAAc1NS44MjM3AOe+c4LZ694Ip4JGsNnr3ggjQ0lRLklRVDYyMjcwMTA2LklRX0NEU19NSUQuMjQvMDcvMjYBAAAArXeDAAIAAAAHNzUuMjEwMgDMyOyB2eveCGrnRrDZ694II0NJUS5JUVQ3OTY0MDAyNC5JUV9DRFNfTUlELjI2LzA3LzI2AQAAADWPmwECAAAABjcuODMzMwBMNXOC2eveCProWLDZ694IJENJUS5JUVQzMTMzMDU4NzkuSVFfQ0RTX01JRC4yNi8wNy8yNgEAAACE</t>
  </si>
  <si>
    <t>1twBAgAAAAYyLjE1MjEAcJdzgtnr3giNTFmw2eveCCNDSVEuSVFUNDYyMDA0MTIuSVFfQ0RTX01JRC4yNi8wNy8yNgEAAABjQwYAAgAAAAc0Ni4zNDQ5AJoNdILZ694IycFZsNnr3ggjQ0lRLklRVDQ2MjAzMzMyLklRX0NEU19NSUQuMjUvMDcvMjYBAAAAXx43AAIAAAAHMTAuODMzMwBMNXOC2eveCJcTRLDZ694II0NJUS5JUVQ0NjIxNTExMS5JUV9DRFNfTUlELjI1LzA3LzI2AQAAAKBLsgECAAAABzM4LjU0NjIAcJdzgtnr3giXE0Sw2eveCCNDSVEuSVFUNDYyMjYxMzIuSVFfQ0RTX01JRC4yNS8wNy8yNgEAAADdWQAAAgAAAAc0NS41Nzg0AJLmc4LZ694I0lFFsNnr3ggkQ0lRLklRVDMxMzMxMzUyNC5JUV9DRFNfTUlELjI1LzA3LzI2AQAAAO9VDQACAAAABjYwLjUyMgDW7+yB2eveCNJRRbDZ694II0NJUS5JUVQ3OTYzOTkxMy5JUV9DRFNfTUlELjIzLzA3LzI2AQAAACBjHAICAAAABTguMTI1AH1cc4LZ694ISVpHsNnr3ggjQ0lRLklRVDQ2MjA3ODcyLklRX0NEU19NSUQuMjMvMDcvMjYBAAAAWA0KAAIAAAAHNDEuMDg1MwDnvnOC2eveCP/VR7DZ694II0NJUS5JUVQ0NjIwMDMxNy5JUV9DRFNfTUlELjIzLzA3LzI2AQAAAP5UDQACAAAABzYxLjQ3MjkAzMjsgdnr3giS/0ew2eveCCRDSVEuSVFUNjQ0NzAxNzk3LklRX0NEU19NSUQuMTQvMDcvMjYBAAAAUz99AQIAAAAHMTAuNjMwNABMNXOC2eveCNkE</t>
  </si>
  <si>
    <t>VLDZ694II0NJUS5JUVQ0NjIxNjk4Ni5JUV9DRFNfTUlELjE0LzA3LzI2AQAAAM5EOAEDAAAAAABwl3OC2eveCGJUVLDZ694IJENJUS5JUVQyNTQ5NTUyMzMuSVFfQ0RTX01JRC4xNC8wNy8yNgEAAAA5VgoAAgAAAAY0My40OTcAmg10gtnr3gjnuFSw2eveCCNDSVEuSVFUNDYxOTYyMjUuSVFfQ0RTX01JRC4yNy8wNC8yNgEAAAC+VaMBAgAAAAcxNy45Mzc1AEw1c4LZ694ImFZWsNnr3ggjQ0lRLklRVDUxMDIzMjYwLklRX0NEU19NSUQuMjcvMDQvMjYBAAAAsRF/AQIAAAAGMTQuMjU1AICDc4LZ694IA8tWsNnr3ggjQ0lRLklRVDQ2MjI0NzQwLklRX0NEU19NSUQuMjcvMDQvMjYBAAAA03IIAAIAAAAHMzUuMzU3MQCS5nOC2eveCG8jV7DZ694IJENJUS5JUVQzMTMzMTczNDQuSVFfQ0RTX01JRC4yNy8wNC8yNgEAAADxrAEAAgAAAAc1Ni42OTkyANbv7IHZ694Ih3NXsNnr3ggjQ0lRLklRVDQ2MjAwMjc2LklRX0NEU19NSUQuMjIvMDcvMjYBAAAAlnd8AQIAAAAHMjkuMjcyOQB9XHOC2eveCETzSbDZ694II0NJUS5JUVQ0NjE5NTQ5MS5JUV9DRFNfTUlELjIyLzA3LzI2AQAAAGlKAAACAAAABzU0Ljk2MjgA575zgtnr3ghlUUqw2eveCCNDSVEuSVFUNzk2MzQ5MDEuSVFfQ0RTX01JRC4yMi8wNy8yNgEAAACcBhAAAgAAAAc0MC45NjY1AJoNdILZ694IGKBKsNnr3ggjQ0lRLklRVDQ2MjA3NTcxLklRX0NEU19N</t>
  </si>
  <si>
    <t>SUQuMTcvMDcvMjYBAAAAbe81AAIAAAAHMzAuMjkxNwBMNXOC2eveCK0IULDZ694II0NJUS5JUVQ0NjIxMzQ3Mi5JUV9DRFNfTUlELjE3LzA3LzI2AQAAALlaOAACAAAAAjE1AHCXc4LZ694IrQhQsNnr3ggkQ0lRLklRVDI2MzIxMzEzMi5JUV9DRFNfTUlELjE3LzA3LzI2AQAAAOGaCAACAAAABzU1Ljg3OTQAmg10gtnr3ghtzVCw2eveCCNDSVEuSVFUNDYxOTQ5OTUuSVFfQ0RTX01JRC4xNS8wNy8yNgEAAABuEDEAAgAAAAIxMQBMNXOC2eveCE6DUrDZ694II0NJUS5JUVQ0NjIyMjI5Mi5JUV9DRFNfTUlELjE1LzA3LzI2AQAAANGRmwECAAAACDc2MS4xMTI2AICDc4LZ694IbNFSsNnr3ggjQ0lRLklRVDQ2MjI1MDA2LklRX0NEU19NSUQuMTUvMDcvMjYBAAAA+FUNAAIAAAAHNDIuMTE0MwCS5nOC2eveCCY6U7DZ694II0NJUS5JUVQ0NjIyMDMyOS5JUV9DRFNfTUlELjE1LzA3LzI2AQAAANtbAAACAAAABDU2LjUA1u/sgdnr3ghuuFOw2eveCCNDSVEuSVFUNDYyNjIzNzguSVFfQ0RTX01JRC4yNy8wNy8yNQEAAABA0okBAgAAAAQxNi41AH1cc4LZ694IzZhNsNnr3ggjQ0lRLklRVDQ2MTk3Njk0LklRX0NEU19NSUQuMjcvMDcvMjUBAAAAB/oFAAIAAAAHNTMuNTMwMQDnvnOC2eveCIz8TbDZ694II0NJUS5JUVQ2MjI3MDEwNy5JUV9DRFNfTUlELjI3LzA3LzI1AQAAABVZAAACAAAABzMwLjMxNTYAmg10gtnr</t>
  </si>
  <si>
    <t>3ghQS06w2eveCCNDSVEuSVFUNDYyMDczMDguSVFfQ0RTX01JRC4yMS8wNy8yNgEAAAA5iXoBAgAAAAcxNC41NjI1AEw1c4LZ694IQBVLsNnr3ggjQ0lRLklRVDQ2MjEwMDMyLklRX0NEU19NSUQuMjEvMDcvMjYBAAAAj1WjAQIAAAAHMzYuNjk5MQBwl3OC2eveCFA8S7DZ694II0NJUS5JUVQ0NjIyNTM3NC5JUV9DRFNfTUlELjIxLzA3LzI2AQAAALXWBQACAAAABzM4LjUwNTkAkuZzgtnr3git0kuw2eveCCNDSVEuSVFUNDk3NTExOTYuSVFfQ0RTX01JRC4yMC8wNy8yNgEAAADNmb0AAgAAAAQ0MS41AEw1c4LZ694Ina1OsNnr3ggjQ0lRLklRVDYwMzg5NTE2LklRX0NEU19NSUQuMjAvMDcvMjYBAAAApfDDAQIAAAAGNy4yNDQ5AICDc4LZ694IcCNPsNnr3ggkQ0lRLklRVDMyMzY4MDEzMC5JUV9DRFNfTUlELjIwLzA3LzI2AQAAAHHhAgACAAAABzUyLjMxMTgAkuZzgtnr3gj7d0+w2eveCCRDSVEuSVFUMzEzMzE1NDI5LklRX0NEU19NSUQuMjAvMDcvMjYBAAAAOecFAAIAAAAHNjIuMTY3MwDW7+yB2eveCAyjT7DZ694II0NJUS5JUVQ0NjIwNjc3OS5JUV9DRFNfTUlELjE5LzA3LzI2AQAAAPzvNgACAAAABDE2LjUAfVxzgtnr3gi5Y0iw2eveCCNDSVEuSVFUNDYyMTg2NzQuSVFfQ0RTX01JRC4xOS8wNy8yNgEAAABXyjYAAgAAAAgxMjkuMjc4NQDnvnOC2eveCLljSLDZ694II0NJUS5JUVQ0NjIyNTcxNS5J</t>
  </si>
  <si>
    <t>UV9DRFNfTUlELjE5LzA3LzI2AQAAALflBAACAAAABzQzLjQzMzkAmg10gtnr3gi5Y0iw2eveCCNDSVEuSVFUNDYyMDQ4ODQuSVFfQ0RTX01JRC4xOC8wNy8yNgEAAACBUcABAgAAAAYyOS42MjUATDVzgtnr3gjeSUyw2eveCCNDSVEuSVFUNzk2Mzk5NTMuSVFfQ0RTX01JRC4yNy8wNC8yNgEAAAA0m1YBAgAAAAcyNi4wMDg0AHCXc4LZ694IA8tWsNnr3ggkQ0lRLklRVDMxMzMxMzUyNC5JUV9DRFNfTUlELjE1LzA3LzI2AQAAAO9VDQACAAAABzYwLjU1NDEA1u/sgdnr3ghuuFOw2eveCCNDSVEuSVFUNDYyMDc4NzIuSVFfQ0RTX01JRC4yNy8wNy8yNQEAAABYDQoAAgAAAAc0MC4wMTQ5AOe+c4LZ694I4CROsNnr3ggkQ0lRLklRVDMxMzMxNzM0NC5JUV9DRFNfTUlELjIwLzA3LzI2AQAAAPGsAQACAAAABzYwLjI4NTIA1u/sgdnr3ggMo0+w2eveCCNDSVEuSVFUNzk2MzQ5MDEuSVFfQ0RTX01JRC4xOS8wNy8yNgEAAACcBhAAAgAAAAc0MS4wNDI1AJoNdILZ694IuWNIsNnr3ggkQ0lRLklRVDI2MzIxMzEzMi5JUV9DRFNfTUlELjE4LzA3LzI2AQAAAOGaCAACAAAABzU1Ljg3OTQAmg10gtnr3gjLAE2w2eveCCNDSVEuSVFUNDYyMjU3MTUuSVFfQ0RTX01JRC4xNy8wNy8yNgEAAAC35QQAAgAAAAc0My40MzM5AJoNdILZ694Ibc1QsNnr3ggjQ0lRLklRVDQ2MTk5ODQxLklRX0NEU19NSUQuMjAvMDcvMjYBAAAA</t>
  </si>
  <si>
    <t>6zAGAAMAAAAAAJLmc4LZ694IDKNPsNnr3ggjQ0lRLklRVDQ2MjYyMzc4LklRX0NEU19NSUQuMjEvMDcvMjYBAAAAQNKJAQIAAAAGMTguMDY2AH1cc4LZ694IQBVLsNnr3ggkQ0lRLklRVDMyMzY4MDEzMC5JUV9DRFNfTUlELjEzLzA3LzI2AQAAAHHhAgACAAAABzUyLjg1NTMAkuZzgtnr3gg+ylWw2eveCCNDSVEuSVFUNDYyMTA1NjAuSVFfQ0RTX01JRC4yNi8wNy8yNgEAAAD2GjcAAgAAAAc4Ny44MDExAE4Oc4LZ694I78FYsNnr3ggjQ0lRLklRVDQ2MjAwMzY0LklRX0NEU19NSUQuMjUvMDcvMjYBAAAAV4YIAAIAAAAHMjUuNTkyNACaDXSC2eveCNJRRbDZ694II0NJUS5JUVQ0NjE5OTg0MS5JUV9DRFNfTUlELjIzLzA3LzI2AQAAAOswBgADAAAAAACS5nOC2eveCJL/R7DZ694IJENJUS5JUVQzMTMzMTA4NTQuSVFfQ0RTX01JRC4xNC8wNy8yNgEAAACvVA0AAgAAAAQ2MS41ANbv7IHZ694IBeBUsNnr3ggjQ0lRLklRVDQ2MjAwMzE3LklRX0NEU19NSUQuMjEvMDcvMjYBAAAA/lQNAAIAAAAHNjIuMjA3OADMyOyB2eveCPj7S7DZ694II0NJUS5JUVQ0NjIyNDc0MC5JUV9DRFNfTUlELjE5LzA3LzI2AQAAANNyCAACAAAABzM1LjIzMzcAkuZzgtnr3gi5Y0iw2eveCCNDSVEuSVFUNDYxOTU0OTEuSVFfQ0RTX01JRC4xOC8wNy8yNgEAAABpSgAAAgAAAAc1NS42MTc2AOe+c4LZ694IN79MsNnr3ggjQ0lRLklR</t>
  </si>
  <si>
    <t>VDQ2MjA3ODcyLklRX0NEU19NSUQuMjcvMDcvMjYBAAAAWA0KAAIAAAAHNDEuMDA1MwDnvnOC2eveCC8mWLDZ694II0NJUS5JUVQ0NjIwMDI3Ni5JUV9DRFNfTUlELjI1LzA3LzI2AQAAAJZ3fAECAAAABzI5LjI1NjMAfVxzgtnr3giXE0Sw2eveCCNDSVEuSVFUNDYyMDc1NzEuSVFfQ0RTX01JRC4yMy8wNy8yNgEAAABt7zUAAgAAAAczMC40ODk3AEw1c4LZ694INjNHsNnr3ggkQ0lRLklRVDI2MzIxMzEzMi5JUV9DRFNfTUlELjIzLzA3LzI2AQAAAOGaCAACAAAABzU2LjUzNDUAmg10gtnr3giS/0ew2eveCCNDSVEuSVFUNDYyMjIyOTIuSVFfQ0RTX01JRC4xNC8wNy8yNgEAAADRkZsBAgAAAAc3NjEuNjY0AICDc4LZ694I4ytUsNnr3ggjQ0lRLklRVDQ2MjEwMDMyLklRX0NEU19NSUQuMjIvMDcvMjYBAAAAj1WjAQIAAAAHMzYuODE2OQBwl3OC2eveCEoqSrDZ694IJENJUS5JUVQzMjM2ODAxMzAuSVFfQ0RTX01JRC4xNy8wNy8yNgEAAABx4QIAAgAAAAc1MS40NDc4AJLmc4LZ694Ibc1QsNnr3ggjQ0lRLklRVDQ2MjE4Njc0LklRX0NEU19NSUQuMTUvMDcvMjYBAAAAV8o2AAIAAAAIMTI0Ljg0MjMA575zgtnr3ggmOlOw2eveCCNDSVEuSVFUNDYyMTA1NjAuSVFfQ0RTX01JRC4xNi8wNy8yNgEAAAD2GjcAAgAAAAc4Ni4xMDAzAE4Oc4LZ694Ibc1QsNnr3ggjQ0lRLklRVDQ2MjE5OTIyLklRX0NEU19NSUQu</t>
  </si>
  <si>
    <t>MTYvMDcvMjYBAAAA1kc5AQIAAAAGNi40ODA5AICDc4LZ694I9JdRsNnr3ggjQ0lRLklRVDQ2MjIzNjQ2LklRX0NEU19NSUQuMTYvMDcvMjYBAAAAG3gEAAIAAAAHNDkuNjk3NgDnvnOC2eveCIENUrDZ694IJENJUS5JUVQzMTMzMTQ5NzYuSVFfQ0RTX01JRC4xNi8wNy8yNgEAAABtSgAAAgAAAAY1Ny44MzcA1u/sgdnr3giUW1Kw2eveCCNDSVEuSVFUNDYyMTg1MTYuSVFfQ0RTX01JRC4xMy8wNy8yNgEAAACmVaMBAgAAAAczNi4xNDkzAH1cc4LZ694IFVVVsNnr3ggjQ0lRLklRVDQ2MjIwODAzLklRX0NEU19NSUQuMTMvMDcvMjYBAAAA1sk2AAIAAAAHNDEuMzY3OADnvnOC2eveCCyjVbDZ694II0NJUS5JUVQ0NjIwMDM2NC5JUV9DRFNfTUlELjEzLzA3LzI2AQAAAFeGCAACAAAABTI0Ljk4AJoNdILZ694IaBhWsNnr3ggjQ0lRLklRVDQ2MjA0MzAwLklRX0NEU19NSUQuMjcvMDcvMjYBAAAA9iV9AAIAAAAGNy4wMjYxAEw1c4LZ694Iy69XsNnr3ggjQ0lRLklRVDYwMzg4MDU3LklRX0NEU19NSUQuMjcvMDcvMjYBAAAA38l9AQMAAAAAAHCXc4LZ694IKf9XsNnr3ggjQ0lRLklRVDQ2MTk5ODQxLklRX0NEU19NSUQuMjcvMDcvMjYBAAAA6zAGAAMAAAAAAJLmc4LZ694Io3NYsNnr3ggjQ0lRLklRVDQ2MjA0MzAwLklRX0NEU19NSUQuMTYvMDcvMjYBAAAA9iV9AAIAAAAGNy4wMDQzAEw1c4LZ694Ibc1QsNnr</t>
  </si>
  <si>
    <t>3ggcQ0lRLklRVDUyODkzNjgxMi5JUV9DRFNfTUlELgEAAABsWwYAAgAAAAc0OC4yOTk3AOVbQ2fZ694IDQl6g9nr3ggbQ0lRLklRVDQ2MTk3MTM4LklRX0NEU19NSUQuAQAAAO6UOAECAAAABzEyNC4zNTYA5VtDZ9nr3ggshKmD2eveCBtDSVEuSVFUNTEwMjM0ODAuSVFfQ0RTX01JRC4BAAAAwkXxAQIAAAAGNC42ODg1AOVbQ2fZ694IFRGZg9nr3ggbQ0lRLklRVDQ2MjA0OTU3LklRX0NEU19NSUQuAQAAACEVBgACAAAABzU1LjgyMzcA5VtDZ9nr3gggrIKD2eveCBtDSVEuSVFUNDYyMDg2MzQuSVFfQ0RTX01JRC4BAAAAAx/CAAIAAAAHMjMuMzI1MQDlW0Nn2eveCFFOiIPZ694IG0NJUS5JUVQ0NjIyNTA4My5JUV9DRFNfTUlELgEAAABWRAYAAgAAAAIzNwDlW0Nn2eveCPCPcoPZ694IG0NJUS5JUVQ0NjIwMzcxNC5JUV9DRFNfTUlELgEAAABfBTUAAgAAAAczMS43NTYzAOVbQ2fZ694IFm6kg9nr3ggbQ0lRLklRVDc5NjM5OTUzLklRX0NEU19NSUQuAQAAADSbVgECAAAABzI0Ljg4NzEA5VtDZ9nr3gioiY+D2eveCBtDSVEuSVFUNDYyMTQ4NzkuSVFfQ0RTX01JRC4BAAAA9Ro3AAIAAAAHNTAuOTIyMQDlW0Nn2eveCDzal4PZ694IG0NJUS5JUVQ0NjQ3MDg3Ny5JUV9DRFNfTUlELgEAAABCNwcAAgAAAAc1OS40MTg2AOVbQ2fZ694I1ReBg9nr3ggcQ0lRLklRVDMxMzMxMDg1NC5JUV9DRFNfTUlELgEAAACv</t>
  </si>
  <si>
    <t>VA0AAgAAAAc2MS42NjY3AOVbQ2fZ694Ip0psg9nr3ggbQ0lRLklRVDQ2MjE0OTU0LklRX0NEU19NSUQuAQAAADo9OQECAAAABjE0LjQyOQDlW0Nn2eveCH0kn4PZ694IG0NJUS5JUVQ0NjIwNDMwMC5JUV9DRFNfTUlELgEAAAD2JX0AAgAAAAY3LjAyNjEA5VtDZ9nr3ggcNKOD2eveCBtDSVEuSVFUNjAzODgwNTcuSVFfQ0RTX01JRC4BAAAA38l9AQMAAAAAAOVbQ2fZ694IoSCOg9nr3ggbQ0lRLklRVDQ2MTk5ODQxLklRX0NEU19NSUQuAQAAAOswBgADAAAAAADlW0Nn2eveCOX8eIPZ694IHENJUS5JUVQzMTMzMTAxODQuSVFfQ0RTX01JRC4BAAAAYEQ+AAIAAAAGMTEuMDM0AOVbQ2fZ694IPh2pg9nr3ggcQ0lRLklRVDMxMzMxNDk3Ni5JUV9DRFNfTUlELgEAAABtSgAAAgAAAAc1OC4xNjUxAOVbQ2fZ694Ipepqg9nr3ggbQ0lRLklRVDQ2MjE4NTE2LklRX0NEU19NSUQuAQAAAKZVowECAAAABjM1LjM3OADlW0Nn2eveCHYTnoPZ694IG0NJUS5JUVQ0NjIyMDgwMy5JUV9DRFNfTUlELgEAAADWyTYAAgAAAAc0NC4zOTAzAOVbQ2fZ694IZSaHg9nr3ggbQ0lRLklRVDQ2MjAwMzY0LklRX0NEU19NSUQuAQAAAFeGCAACAAAABzI1LjU5MjQA5VtDZ9nr3ghNYXKD2eveCBxDSVEuSVFUMjg2MDk2MTMxLklRX0NEU19NSUQuAQAAADvxBAACAAAABzYwLjkwNDcA5VtDZ9nr3gjEO3iD2eveCBtDSVEuSVFUNDYyMTA1</t>
  </si>
  <si>
    <t>NjAuSVFfQ0RTX01JRC4BAAAA9ho3AAIAAAAHODcuODAxMQDlW0Nn2eveCNDOqIPZ694IG0NJUS5JUVQ0NjIxOTkyMi5JUV9DRFNfTUlELgEAAADWRzkBAgAAAAY2LjY4NjIA5VtDZ9nr3ggcq5aD2eveCBtDSVEuSVFUNDYyMjM2NDYuSVFfQ0RTX01JRC4BAAAAG3gEAAIAAAAHNDkuOTM1NADlW0Nn2eveCJmcf4PZ694IG0NJUS5JUVQ0NjIxODY3NC5JUV9DRFNfTUlELgEAAABXyjYAAgAAAAgxMzQuNDEzMgDlW0Nn2eveCNKphIPZ694IG0NJUS5JUVQ0NjIyNTcxNS5JUV9DRFNfTUlELgEAAAC35QQAAgAAAAc0My40NjE1AOVbQ2fZ694I9hJxg9nr3ggbQ0lRLklRVDQ2MjA0ODg0LklRX0NEU19NSUQuAQAAAIFRwAECAAAABzI5LjgzMzMA5VtDZ9nr3ghcY6KD2eveCBtDSVEuSVFUNDYyMDc3ODkuSVFfQ0RTX01JRC4BAAAAKlijAQIAAAAHMjcuMTEyMwDlW0Nn2eveCGkOjYPZ694IG0NJUS5JUVQ2MDM4OTUxNi5JUV9DRFNfTUlELgEAAACl8MMBAgAAAAY3LjI0NzEA5VtDZ9nr3girSZWD2eveCBxDSVEuSVFUMzIzNjgwMTMwLklRX0NEU19NSUQuAQAAAHHhAgACAAAABzUyLjQ5MzgA5VtDZ9nr3gj1E32D2eveCBxDSVEuSVFUMzEzMzE1NDI5LklRX0NEU19NSUQuAQAAADnnBQACAAAABzYyLjUwNjcA5VtDZ9nr3gi1E2mD2eveCBtDSVEuSVFUNDYyMDY3NzkuSVFfQ0RTX01JRC4BAAAA/O82AAIAAAAHMTYu</t>
  </si>
  <si>
    <t>NDcyNgDlW0Nn2eveCOeZm4PZ694IG0NJUS5JUVQ0NjIwNzMwOC5JUV9DRFNfTUlELgEAAAA5iXoBAgAAAAcxNC41NjI1AOVbQ2fZ694I0+ahg9nr3ggbQ0lRLklRVDQ2MjEwMDMyLklRX0NEU19NSUQuAQAAAI9VowECAAAABzM4LjE5NDUA5VtDZ9nr3ghpDo2D2eveCBtDSVEuSVFUNDYyMjUzNzQuSVFfQ0RTX01JRC4BAAAAtdYFAAIAAAAHMzkuNTU0NADlW0Nn2eveCKY9d4PZ694IG0NJUS5JUVQ0OTc1MTE5Ni5JUV9DRFNfTUlELgEAAADNmb0AAgAAAAc0MC41NzA2AOVbQ2fZ694IwICog9nr3ggbQ0lRLklRVDQ2MjIwMzI5LklRX0NEU19NSUQuAQAAANtbAAACAAAABjU2LjY3NADlW0Nn2eveCHBlZoPZ694IG0NJUS5JUVQ0NjI2MjM3OC5JUV9DRFNfTUlELgEAAABA0okBAgAAAAIxOADlW0Nn2eveCOeZm4PZ694IG0NJUS5JUVQ0NjE5NzY5NC5JUV9DRFNfTUlELgEAAAAH+gUAAgAAAAc1My45ODY4AOVbQ2fZ694I0qmEg9nr3ggbQ0lRLklRVDYyMjcwMTA3LklRX0NEU19NSUQuAQAAABVZAAACAAAABzQyLjQxMTUA5VtDZ9nr3giprHCD2eveCBxDSVEuSVFUMjYzMjEzMTMyLklRX0NEU19NSUQuAQAAAOGaCAACAAAABzU2LjUzOTEA5VtDZ9nr3gjhXHaD2eveCBtDSVEuSVFUNDYxOTQ5OTUuSVFfQ0RTX01JRC4BAAAAbhAxAAIAAAAHMTEuMTgyNADlW0Nn2eveCEbgp4PZ694IG0NJUS5JUVQ0NjIyMjI5</t>
  </si>
  <si>
    <t>Mi5JUV9DRFNfTUlELgEAAADRkZsBAgAAAAg3NzcuMTYyNADlW0Nn2eveCFPUk4PZ694IG0NJUS5JUVQ0NjIyNTAwNi5JUV9DRFNfTUlELgEAAAD4VQ0AAgAAAAY0NC43MTIA5VtDZ9nr3gj1E32D2eveCBtDSVEuSVFUNDYyMDA0MTIuSVFfQ0RTX01JRC4BAAAAY0MGAAIAAAAHNDYuMzQ0OQDlW0Nn2eveCLEJdIPZ694IG0NJUS5JUVQ0NjIwNzU3MS5JUV9DRFNfTUlELgEAAABt7zUAAgAAAAQzMC41AOVbQ2fZ694I/IKhg9nr3ggbQ0lRLklRVDQ2MjEzNDcyLklRX0NEU19NSUQuAQAAALlaOAACAAAABjE1LjQxMgDlW0Nn2eveCBFJjIPZ694IG0NJUS5JUVQ0NjIwMDI3Ni5JUV9DRFNfTUlELgEAAACWd3wBAgAAAAcyOS4yNTYzAOVbQ2fZ694I55mbg9nr3ggbQ0lRLklRVDQ2MTk1NDkxLklRX0NEU19NSUQuAQAAAGlKAAACAAAABzU2LjQxNTkA5VtDZ9nr3gjSqYSD2eveCBtDSVEuSVFUNzk2MzQ5MDEuSVFfQ0RTX01JRC4BAAAAnAYQAAIAAAAHNDEuMjE0NgDlW0Nn2eveCB+hb4PZ694IG0NJUS5JUVQ0NjE5NjIyNS5JUV9DRFNfTUlELgEAAAC+VaMBAgAAAAcxNy41NTI0AOVbQ2fZ694I8sSmg9nr3ggbQ0lRLklRVDUxMDIzMjYwLklRX0NEU19NSUQuAQAAALERfwECAAAABzE0LjY4MTYA5VtDZ9nr3giVkZKD2eveCBtDSVEuSVFUNDYyMjQ3NDAuSVFfQ0RTX01JRC4BAAAA03IIAAIAAAAHMzYuNjM1NADl</t>
  </si>
  <si>
    <t>W0Nn2eveCPr2e4PZ694IHENJUS5JUVQzMTMzMTczNDQuSVFfQ0RTX01JRC4BAAAA8awBAAIAAAAHNjEuMjkyOADlW0Nn2eveCHY/ZYPZ694IG0NJUS5JUVQ0NjIwMDMxNy5JUV9DRFNfTUlELgEAAAD+VA0AAgAAAAc2Mi4zODQxAOVbQ2fZ694IN3Zug9nr3ggcQ0lRLklRVDY0NDcwMTc5Ny5JUV9DRFNfTUlELgEAAABTP30BAgAAAAY5Ljc2MjgA5VtDZ9nr3gi5caCD2eveCBtDSVEuSVFUNDYyMTY5ODYuSVFfQ0RTX01JRC4BAAAAzkQ4AQMAAAAAAOVbQ2fZ694IbQGLg9nr3ggcQ0lRLklRVDI1NDk1NTIzMy5JUV9DRFNfTUlELgEAAAA5VgoAAgAAAAc0My43MDUzAOVbQ2fZ694INRh1g9nr3ggbQ0lRLklRVDQ2MjI2MTMyLklRX0NEU19NSUQuAQAAAN1ZAAACAAAABzQ1LjU3ODQA5VtDZ9nr3gh4HnuD2eveCBxDSVEuSVFUMzEzMzEzNTI0LklRX0NEU19NSUQuAQAAAO9VDQACAAAABjYwLjUyMgDlW0Nn2eveCMPxY4PZ694IG0NJUS5JUVQ3OTYzOTkxMy5JUV9DRFNfTUlELgEAAAAgYxwCAgAAAAY3Ljk2MjcA5VtDZ9nr3gg0hpqD2eveCBtDSVEuSVFUNDYyMDc4NzIuSVFfQ0RTX01JRC4BAAAAWA0KAAIAAAAHNDEuMDA1MwDlW0Nn2eveCLFHhIPZ694IHENJUS5JUVQzMTMzMDU4NzkuSVFfQ0RTX01JRC4BAAAAhNbcAQIAAAAGMi4xNTIxAOVbQ2fZ694IXMGJg9nr3ggbQ0lRLklRVDQ2MjAzMzMyLklRX0NE</t>
  </si>
  <si>
    <t>U19NSUQuAQAAAF8eNwACAAAABzEwLjgzMzMA5VtDZ9nr3gjspaWD2eveCBtDSVEuSVFUNDYyMTUxMTEuSVFfQ0RTX01JRC4BAAAAoEuyAQIAAAAHMzguNTQ2MgDlW0Nn2eveCHAHkYPZ694IG0NJUS5JUVQ2MjI3MDEwNi5JUV9DRFNfTUlELgEAAACtd4MAAgAAAAc3NS4yMTAyAOVbQ2fZ694Img1tg9nr3ggbQ0lRLklRVDc5NjQwMDI0LklRX0NEU19NSUQuAQAAADWPmwECAAAABjcuODMzMwDlW0Nn2eveCB+an4PZ694IG0NJUS5BQVBMLVVTLklRX0NPTVBBTllfTkFNRQUAAAAAAAAACAAAABQoSW52YWxpZCBJZGVudGlmaWVyKU4Oc4LZ694ILISpg9nr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</si>
</sst>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\+0.0;\-0.0;&quot;-&quot;"/>
    <numFmt numFmtId="166" formatCode="0.0"/>
    <numFmt numFmtId="167" formatCode="0_ ;\-0\ "/>
    <numFmt numFmtId="168" formatCode="0.0_ ;\-0.0\ "/>
    <numFmt numFmtId="169" formatCode="0.0000"/>
  </numFmts>
  <fonts count="2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666666"/>
      <name val="Arial"/>
      <family val="2"/>
    </font>
    <font>
      <b/>
      <sz val="9"/>
      <name val="Arial"/>
      <family val="2"/>
    </font>
    <font>
      <sz val="8"/>
      <color rgb="FF666666"/>
      <name val="Arial"/>
      <family val="2"/>
    </font>
    <font>
      <sz val="10"/>
      <color rgb="FF14181F"/>
      <name val="Calibri"/>
      <family val="2"/>
      <scheme val="minor"/>
    </font>
    <font>
      <sz val="9"/>
      <color rgb="FF000000"/>
      <name val="Arial"/>
      <family val="2"/>
    </font>
    <font>
      <i/>
      <sz val="9"/>
      <color rgb="FF666666"/>
      <name val="Arial"/>
      <family val="2"/>
    </font>
    <font>
      <sz val="9"/>
      <color rgb="FF14181F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 Unicode MS"/>
    </font>
    <font>
      <sz val="8"/>
      <color rgb="FF000000"/>
      <name val="Verdana"/>
      <family val="2"/>
    </font>
    <font>
      <b/>
      <sz val="12"/>
      <color theme="0"/>
      <name val="Tahoma"/>
      <family val="2"/>
    </font>
    <font>
      <sz val="12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5C6B"/>
      </patternFill>
    </fill>
    <fill>
      <patternFill patternType="solid">
        <fgColor rgb="FF2E7D8C"/>
      </patternFill>
    </fill>
    <fill>
      <patternFill patternType="solid">
        <fgColor rgb="FF4AA8B8"/>
      </patternFill>
    </fill>
    <fill>
      <patternFill patternType="solid">
        <fgColor rgb="FFF2F2F2"/>
      </patternFill>
    </fill>
    <fill>
      <patternFill patternType="solid">
        <fgColor rgb="FFFF6B6B"/>
      </patternFill>
    </fill>
    <fill>
      <patternFill patternType="solid">
        <fgColor rgb="FFFFFFFF"/>
      </patternFill>
    </fill>
    <fill>
      <patternFill patternType="solid">
        <fgColor rgb="FF21596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15968"/>
      </left>
      <right style="thin">
        <color rgb="FF215968"/>
      </right>
      <top style="thin">
        <color rgb="FF215968"/>
      </top>
      <bottom style="thin">
        <color rgb="FF215968"/>
      </bottom>
      <diagonal/>
    </border>
    <border>
      <left style="thin">
        <color rgb="FF215968"/>
      </left>
      <right style="thin">
        <color rgb="FF21596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4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14" fontId="0" fillId="0" borderId="0" xfId="0" applyNumberFormat="1"/>
    <xf numFmtId="0" fontId="19" fillId="8" borderId="0" xfId="0" applyFont="1" applyFill="1"/>
    <xf numFmtId="0" fontId="20" fillId="0" borderId="2" xfId="0" applyFont="1" applyBorder="1"/>
    <xf numFmtId="0" fontId="20" fillId="0" borderId="0" xfId="0" applyFont="1"/>
    <xf numFmtId="0" fontId="20" fillId="0" borderId="3" xfId="0" applyFont="1" applyBorder="1"/>
    <xf numFmtId="167" fontId="10" fillId="7" borderId="1" xfId="0" applyNumberFormat="1" applyFont="1" applyFill="1" applyBorder="1" applyAlignment="1">
      <alignment horizontal="center" vertical="center"/>
    </xf>
    <xf numFmtId="167" fontId="10" fillId="5" borderId="1" xfId="0" applyNumberFormat="1" applyFont="1" applyFill="1" applyBorder="1" applyAlignment="1">
      <alignment horizontal="center" vertical="center"/>
    </xf>
    <xf numFmtId="168" fontId="10" fillId="5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167" fontId="5" fillId="7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9" fontId="0" fillId="0" borderId="0" xfId="0" applyNumberFormat="1"/>
    <xf numFmtId="169" fontId="17" fillId="0" borderId="0" xfId="0" applyNumberFormat="1" applyFont="1" applyAlignment="1">
      <alignment vertical="center"/>
    </xf>
    <xf numFmtId="169" fontId="0" fillId="0" borderId="0" xfId="0" applyNumberFormat="1"/>
    <xf numFmtId="167" fontId="16" fillId="0" borderId="4" xfId="0" applyNumberFormat="1" applyFont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8" fontId="10" fillId="5" borderId="5" xfId="0" applyNumberFormat="1" applyFont="1" applyFill="1" applyBorder="1" applyAlignment="1">
      <alignment horizontal="center" vertical="center"/>
    </xf>
    <xf numFmtId="167" fontId="10" fillId="5" borderId="7" xfId="0" applyNumberFormat="1" applyFont="1" applyFill="1" applyBorder="1" applyAlignment="1">
      <alignment horizontal="center" vertical="center"/>
    </xf>
    <xf numFmtId="165" fontId="10" fillId="7" borderId="5" xfId="0" applyNumberFormat="1" applyFont="1" applyFill="1" applyBorder="1" applyAlignment="1">
      <alignment horizontal="center" vertical="center"/>
    </xf>
    <xf numFmtId="167" fontId="10" fillId="7" borderId="7" xfId="0" applyNumberFormat="1" applyFont="1" applyFill="1" applyBorder="1" applyAlignment="1">
      <alignment horizontal="center" vertical="center"/>
    </xf>
    <xf numFmtId="168" fontId="10" fillId="7" borderId="5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7" fontId="7" fillId="6" borderId="7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right" vertical="center"/>
    </xf>
    <xf numFmtId="0" fontId="6" fillId="7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vertical="center"/>
    </xf>
    <xf numFmtId="0" fontId="11" fillId="5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164" fontId="10" fillId="7" borderId="5" xfId="0" applyNumberFormat="1" applyFont="1" applyFill="1" applyBorder="1" applyAlignment="1">
      <alignment horizontal="center" vertical="center"/>
    </xf>
    <xf numFmtId="166" fontId="9" fillId="0" borderId="5" xfId="0" applyNumberFormat="1" applyFont="1" applyBorder="1" applyAlignment="1">
      <alignment vertical="center"/>
    </xf>
    <xf numFmtId="165" fontId="5" fillId="5" borderId="7" xfId="0" applyNumberFormat="1" applyFont="1" applyFill="1" applyBorder="1" applyAlignment="1">
      <alignment horizontal="center" vertical="center"/>
    </xf>
    <xf numFmtId="165" fontId="10" fillId="5" borderId="5" xfId="0" applyNumberFormat="1" applyFont="1" applyFill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5" fontId="10" fillId="7" borderId="7" xfId="0" applyNumberFormat="1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165" fontId="5" fillId="7" borderId="6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vertical="center"/>
    </xf>
    <xf numFmtId="165" fontId="10" fillId="5" borderId="7" xfId="0" applyNumberFormat="1" applyFont="1" applyFill="1" applyBorder="1" applyAlignment="1">
      <alignment horizontal="center" vertical="center"/>
    </xf>
    <xf numFmtId="165" fontId="5" fillId="7" borderId="7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3" fillId="2" borderId="1" xfId="0" applyFont="1" applyFill="1" applyBorder="1" applyAlignment="1">
      <alignment horizontal="left" vertical="center"/>
    </xf>
    <xf numFmtId="0" fontId="14" fillId="0" borderId="0" xfId="0" applyFont="1"/>
  </cellXfs>
  <cellStyles count="1">
    <cellStyle name="Normal" xfId="0" builtinId="0"/>
  </cellStyles>
  <dxfs count="6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>
        <v>174041.95</v>
        <stp/>
        <stp>1</stp>
        <stp>9779546</stp>
        <tr r="H8" s="1"/>
      </tp>
      <tp>
        <v>173371.35</v>
        <stp/>
        <stp>2</stp>
        <stp>9779546</stp>
        <tr r="H8" s="1"/>
        <tr r="H8" s="1"/>
      </tp>
      <tp>
        <v>174041.95</v>
        <stp/>
        <stp>3</stp>
        <stp>9779546</stp>
        <tr r="J8" s="1"/>
      </tp>
      <tp>
        <v>189578.79</v>
        <stp/>
        <stp>4</stp>
        <stp>9779546</stp>
        <tr r="J8" s="1"/>
        <tr r="J8" s="1"/>
      </tp>
      <tp>
        <v>66383.259999999995</v>
        <stp/>
        <stp>5</stp>
        <stp>9779546</stp>
        <tr r="K10" s="1"/>
      </tp>
      <tp>
        <v>57323.14</v>
        <stp/>
        <stp>6</stp>
        <stp>9779546</stp>
        <tr r="K10" s="1"/>
        <tr r="K10" s="1"/>
      </tp>
      <tp>
        <v>6455.88</v>
        <stp/>
        <stp>7</stp>
        <stp>9779546</stp>
        <tr r="H13" s="1"/>
      </tp>
      <tp>
        <v>6396.8</v>
        <stp/>
        <stp>8</stp>
        <stp>9779546</stp>
        <tr r="H13" s="1"/>
        <tr r="H13" s="1"/>
      </tp>
      <tp>
        <v>1.1380999999999999</v>
        <stp/>
        <stp>9</stp>
        <stp>9779546</stp>
        <tr r="U13" s="1"/>
      </tp>
      <tp>
        <v>2589.4929999999999</v>
        <stp/>
        <stp>24</stp>
        <stp>9779546</stp>
        <tr r="K32" s="1"/>
        <tr r="K32" s="1"/>
      </tp>
      <tp>
        <v>44.816200000000002</v>
        <stp/>
        <stp>25</stp>
        <stp>9779546</stp>
        <tr r="L34" s="1"/>
      </tp>
      <tp>
        <v>44.816200000000002</v>
        <stp/>
        <stp>26</stp>
        <stp>9779546</stp>
        <tr r="L34" s="1"/>
        <tr r="L34" s="1"/>
      </tp>
      <tp>
        <v>-3.25</v>
        <stp/>
        <stp>27</stp>
        <stp>9779546</stp>
        <tr r="O37" s="1"/>
      </tp>
      <tp>
        <v>2592.09</v>
        <stp/>
        <stp>20</stp>
        <stp>9779546</stp>
        <tr r="S28" s="1"/>
      </tp>
      <tp>
        <v>2350.58</v>
        <stp/>
        <stp>21</stp>
        <stp>9779546</stp>
        <tr r="J30" s="1"/>
      </tp>
      <tp>
        <v>2333.4299999999998</v>
        <stp/>
        <stp>22</stp>
        <stp>9779546</stp>
        <tr r="J30" s="1"/>
        <tr r="J30" s="1"/>
      </tp>
      <tp>
        <v>3217.886</v>
        <stp/>
        <stp>23</stp>
        <stp>9779546</stp>
        <tr r="K32" s="1"/>
      </tp>
      <tp>
        <v>76835.78</v>
        <stp/>
        <stp>28</stp>
        <stp>9779546</stp>
        <tr r="R39" s="1"/>
      </tp>
      <tp>
        <v>1722.29</v>
        <stp/>
        <stp>29</stp>
        <stp>9779546</stp>
        <tr r="S41" s="1"/>
      </tp>
      <tp>
        <v>7656.31</v>
        <stp/>
        <stp>34</stp>
        <stp>9779546</stp>
        <tr r="I45" s="1"/>
        <tr r="I45" s="1"/>
      </tp>
      <tp>
        <v>1459.23</v>
        <stp/>
        <stp>35</stp>
        <stp>9779546</stp>
        <tr r="V45" s="1"/>
      </tp>
      <tp>
        <v>1624.47</v>
        <stp/>
        <stp>36</stp>
        <stp>9779546</stp>
        <tr r="J47" s="1"/>
      </tp>
      <tp>
        <v>1479.13</v>
        <stp/>
        <stp>37</stp>
        <stp>9779546</stp>
        <tr r="J47" s="1"/>
        <tr r="J47" s="1"/>
      </tp>
      <tp>
        <v>3215.91</v>
        <stp/>
        <stp>30</stp>
        <stp>9779546</stp>
        <tr r="H43" s="1"/>
      </tp>
      <tp>
        <v>3215.91</v>
        <stp/>
        <stp>31</stp>
        <stp>9779546</stp>
        <tr r="H43" s="1"/>
        <tr r="H43" s="1"/>
      </tp>
      <tp>
        <v>78.020499999999998</v>
        <stp/>
        <stp>32</stp>
        <stp>9779546</stp>
        <tr r="U43" s="1"/>
      </tp>
      <tp>
        <v>6755.75</v>
        <stp/>
        <stp>33</stp>
        <stp>9779546</stp>
        <tr r="I45" s="1"/>
      </tp>
      <tp>
        <v>1.27</v>
        <stp/>
        <stp>38</stp>
        <stp>9779546</stp>
        <tr r="N49" s="1"/>
      </tp>
      <tp>
        <v>35369.1</v>
        <stp/>
        <stp>39</stp>
        <stp>9779546</stp>
        <tr r="R9" s="1"/>
      </tp>
      <tp>
        <v>24083.53</v>
        <stp/>
        <stp>14</stp>
        <stp>9779546</stp>
        <tr r="J17" s="1"/>
        <tr r="J17" s="1"/>
      </tp>
      <tp>
        <v>13699.61</v>
        <stp/>
        <stp>15</stp>
        <stp>9779546</stp>
        <tr r="K19" s="1"/>
      </tp>
      <tp>
        <v>11622.76</v>
        <stp/>
        <stp>16</stp>
        <stp>9779546</stp>
        <tr r="K19" s="1"/>
        <tr r="K19" s="1"/>
      </tp>
      <tp>
        <v>1.1415</v>
        <stp/>
        <stp>17</stp>
        <stp>9779546</stp>
        <tr r="L21" s="1"/>
      </tp>
      <tp>
        <v>6200.36</v>
        <stp/>
        <stp>10</stp>
        <stp>9779546</stp>
        <tr r="I15" s="1"/>
      </tp>
      <tp>
        <v>6137.04</v>
        <stp/>
        <stp>11</stp>
        <stp>9779546</stp>
        <tr r="I15" s="1"/>
        <tr r="I15" s="1"/>
      </tp>
      <tp>
        <v>1.1367</v>
        <stp/>
        <stp>12</stp>
        <stp>9779546</stp>
        <tr r="V15" s="1"/>
      </tp>
      <tp>
        <v>25361.03</v>
        <stp/>
        <stp>13</stp>
        <stp>9779546</stp>
        <tr r="J17" s="1"/>
      </tp>
      <tp>
        <v>1.1741999999999999</v>
        <stp/>
        <stp>18</stp>
        <stp>9779546</stp>
        <tr r="O23" s="1"/>
      </tp>
      <tp>
        <v>19585.400000000001</v>
        <stp/>
        <stp>19</stp>
        <stp>9779546</stp>
        <tr r="R25" s="1"/>
      </tp>
      <tp>
        <v>3213.7</v>
        <stp/>
        <stp>64</stp>
        <stp>9779546</stp>
        <tr r="K24" s="1"/>
      </tp>
      <tp>
        <v>2452.88</v>
        <stp/>
        <stp>65</stp>
        <stp>9779546</stp>
        <tr r="K24" s="1"/>
        <tr r="K24" s="1"/>
      </tp>
      <tp>
        <v>6.5503</v>
        <stp/>
        <stp>66</stp>
        <stp>9779546</stp>
        <tr r="M29" s="1"/>
      </tp>
      <tp>
        <v>0.56774999999999998</v>
        <stp/>
        <stp>67</stp>
        <stp>9779546</stp>
        <tr r="M42" s="1"/>
      </tp>
      <tp>
        <v>8894</v>
        <stp/>
        <stp>60</stp>
        <stp>9779546</stp>
        <tr r="K36" s="1"/>
      </tp>
      <tp>
        <v>8697.7000000000007</v>
        <stp/>
        <stp>61</stp>
        <stp>9779546</stp>
        <tr r="K36" s="1"/>
        <tr r="K36" s="1"/>
      </tp>
      <tp>
        <v>-1.67</v>
        <stp/>
        <stp>62</stp>
        <stp>9779546</stp>
        <tr r="N42" s="1"/>
      </tp>
      <tp>
        <v>0.41</v>
        <stp/>
        <stp>63</stp>
        <stp>9779546</stp>
        <tr r="O44" s="1"/>
      </tp>
      <tp>
        <v>1713.09</v>
        <stp/>
        <stp>68</stp>
        <stp>9779546</stp>
        <tr r="H41" s="1"/>
      </tp>
      <tp>
        <v>1722.29</v>
        <stp/>
        <stp>69</stp>
        <stp>9779546</stp>
        <tr r="H41" s="1"/>
        <tr r="H41" s="1"/>
      </tp>
      <tp>
        <v>3.04</v>
        <stp/>
        <stp>74</stp>
        <stp>9779546</stp>
        <tr r="N29" s="1"/>
      </tp>
      <tp>
        <v>3784.15</v>
        <stp/>
        <stp>75</stp>
        <stp>9779546</stp>
        <tr r="S31" s="1"/>
      </tp>
      <tp>
        <v>7.8411</v>
        <stp/>
        <stp>76</stp>
        <stp>9779546</stp>
        <tr r="L38" s="1"/>
      </tp>
      <tp>
        <v>3796.2813999999998</v>
        <stp/>
        <stp>77</stp>
        <stp>9779546</stp>
        <tr r="S37" s="1"/>
      </tp>
      <tp>
        <v>3215.91</v>
        <stp/>
        <stp>70</stp>
        <stp>9779546</stp>
        <tr r="I43" s="1"/>
      </tp>
      <tp>
        <v>3215.91</v>
        <stp/>
        <stp>71</stp>
        <stp>9779546</stp>
        <tr r="I43" s="1"/>
        <tr r="I43" s="1"/>
      </tp>
      <tp>
        <v>77.645499999999998</v>
        <stp/>
        <stp>72</stp>
        <stp>9779546</stp>
        <tr r="V43" s="1"/>
      </tp>
      <tp>
        <v>1.02</v>
        <stp/>
        <stp>73</stp>
        <stp>9779546</stp>
        <tr r="O49" s="1"/>
      </tp>
      <tp>
        <v>4.0880000000000001</v>
        <stp/>
        <stp>78</stp>
        <stp>9779546</stp>
        <tr r="V41" s="1"/>
      </tp>
      <tp>
        <v>6755.75</v>
        <stp/>
        <stp>79</stp>
        <stp>9779546</stp>
        <tr r="K45" s="1"/>
      </tp>
      <tp>
        <v>1081.1300000000001</v>
        <stp/>
        <stp>44</stp>
        <stp>9779546</stp>
        <tr r="J22" s="1"/>
      </tp>
      <tp>
        <v>1008.91</v>
        <stp/>
        <stp>45</stp>
        <stp>9779546</stp>
        <tr r="J22" s="1"/>
        <tr r="J22" s="1"/>
      </tp>
      <tp>
        <v>1.3431500000000001</v>
        <stp/>
        <stp>46</stp>
        <stp>9779546</stp>
        <tr r="L27" s="1"/>
      </tp>
      <tp>
        <v>3826.08</v>
        <stp/>
        <stp>47</stp>
        <stp>9779546</stp>
        <tr r="R31" s="1"/>
      </tp>
      <tp>
        <v>-2.89</v>
        <stp/>
        <stp>40</stp>
        <stp>9779546</stp>
        <tr r="N14" s="1"/>
      </tp>
      <tp>
        <v>1.1741999999999999</v>
        <stp/>
        <stp>41</stp>
        <stp>9779546</stp>
        <tr r="O16" s="1"/>
      </tp>
      <tp>
        <v>2517.84</v>
        <stp/>
        <stp>42</stp>
        <stp>9779546</stp>
        <tr r="R18" s="1"/>
      </tp>
      <tp>
        <v>51862.79</v>
        <stp/>
        <stp>43</stp>
        <stp>9779546</stp>
        <tr r="S20" s="1"/>
      </tp>
      <tp>
        <v>14254.36</v>
        <stp/>
        <stp>48</stp>
        <stp>9779546</stp>
        <tr r="S33" s="1"/>
      </tp>
      <tp>
        <v>8894</v>
        <stp/>
        <stp>49</stp>
        <stp>9779546</stp>
        <tr r="J36" s="1"/>
      </tp>
      <tp>
        <v>1.18</v>
        <stp/>
        <stp>54</stp>
        <stp>9779546</stp>
        <tr r="N44" s="1"/>
      </tp>
      <tp>
        <v>3.05</v>
        <stp/>
        <stp>55</stp>
        <stp>9779546</stp>
        <tr r="O46" s="1"/>
      </tp>
      <tp>
        <v>4.0830000000000002</v>
        <stp/>
        <stp>56</stp>
        <stp>9779546</stp>
        <tr r="U41" s="1"/>
      </tp>
      <tp>
        <v>1624.47</v>
        <stp/>
        <stp>57</stp>
        <stp>9779546</stp>
        <tr r="K47" s="1"/>
      </tp>
      <tp>
        <v>8766.4</v>
        <stp/>
        <stp>50</stp>
        <stp>9779546</stp>
        <tr r="J36" s="1"/>
        <tr r="J36" s="1"/>
      </tp>
      <tp>
        <v>25207.18</v>
        <stp/>
        <stp>51</stp>
        <stp>9779546</stp>
        <tr r="K38" s="1"/>
      </tp>
      <tp>
        <v>25562.13</v>
        <stp/>
        <stp>52</stp>
        <stp>9779546</stp>
        <tr r="K38" s="1"/>
        <tr r="K38" s="1"/>
      </tp>
      <tp>
        <v>162.5</v>
        <stp/>
        <stp>53</stp>
        <stp>9779546</stp>
        <tr r="L40" s="1"/>
      </tp>
      <tp>
        <v>1217.1500000000001</v>
        <stp/>
        <stp>58</stp>
        <stp>9779546</stp>
        <tr r="K47" s="1"/>
        <tr r="K47" s="1"/>
      </tp>
      <tp>
        <v>1.3355999999999999</v>
        <stp/>
        <stp>59</stp>
        <stp>9779546</stp>
        <tr r="M27" s="1"/>
      </tp>
      <tp>
        <v>76835.78</v>
        <stp/>
        <stp>84</stp>
        <stp>9779546</stp>
        <tr r="I39" s="1"/>
      </tp>
      <tp>
        <v>78180.72</v>
        <stp/>
        <stp>85</stp>
        <stp>9779546</stp>
        <tr r="I39" s="1"/>
        <tr r="I39" s="1"/>
      </tp>
      <tp>
        <v>1713.09</v>
        <stp/>
        <stp>86</stp>
        <stp>9779546</stp>
        <tr r="J41" s="1"/>
      </tp>
      <tp>
        <v>1717.27</v>
        <stp/>
        <stp>87</stp>
        <stp>9779546</stp>
        <tr r="J41" s="1"/>
        <tr r="J41" s="1"/>
      </tp>
      <tp>
        <v>3209.52</v>
        <stp/>
        <stp>80</stp>
        <stp>9779546</stp>
        <tr r="K45" s="1"/>
        <tr r="K45" s="1"/>
      </tp>
      <tp>
        <v>7.8417500000000002</v>
        <stp/>
        <stp>81</stp>
        <stp>9779546</stp>
        <tr r="M38" s="1"/>
      </tp>
      <tp>
        <v>5620.24</v>
        <stp/>
        <stp>82</stp>
        <stp>9779546</stp>
        <tr r="R44" s="1"/>
      </tp>
      <tp>
        <v>6.7656999999999998</v>
        <stp/>
        <stp>83</stp>
        <stp>9779546</stp>
        <tr r="U37" s="1"/>
      </tp>
      <tp>
        <v>1475.9</v>
        <stp/>
        <stp>88</stp>
        <stp>9779546</stp>
        <tr r="L45" s="1"/>
      </tp>
      <tp>
        <v>6.5494000000000003</v>
        <stp/>
        <stp>89</stp>
        <stp>9779546</stp>
        <tr r="L29" s="1"/>
      </tp>
      <tp>
        <v>6488.23</v>
        <stp/>
        <stp>94</stp>
        <stp>9779546</stp>
        <tr r="I13" s="1"/>
        <tr r="I13" s="1"/>
      </tp>
      <tp>
        <v>1.1367</v>
        <stp/>
        <stp>95</stp>
        <stp>9779546</stp>
        <tr r="V13" s="1"/>
      </tp>
      <tp>
        <v>6175.52</v>
        <stp/>
        <stp>96</stp>
        <stp>9779546</stp>
        <tr r="J15" s="1"/>
      </tp>
      <tp>
        <v>6239.09</v>
        <stp/>
        <stp>97</stp>
        <stp>9779546</stp>
        <tr r="J15" s="1"/>
        <tr r="J15" s="1"/>
      </tp>
      <tp>
        <v>174041.95</v>
        <stp/>
        <stp>90</stp>
        <stp>9779546</stp>
        <tr r="K8" s="1"/>
      </tp>
      <tp>
        <v>133524.18</v>
        <stp/>
        <stp>91</stp>
        <stp>9779546</stp>
        <tr r="K8" s="1"/>
        <tr r="K8" s="1"/>
      </tp>
      <tp>
        <v>17.424600000000002</v>
        <stp/>
        <stp>92</stp>
        <stp>9779546</stp>
        <tr r="L10" s="1"/>
      </tp>
      <tp>
        <v>6455.88</v>
        <stp/>
        <stp>93</stp>
        <stp>9779546</stp>
        <tr r="I13" s="1"/>
      </tp>
      <tp>
        <v>25361.03</v>
        <stp/>
        <stp>98</stp>
        <stp>9779546</stp>
        <tr r="K17" s="1"/>
      </tp>
      <tp>
        <v>23970.36</v>
        <stp/>
        <stp>99</stp>
        <stp>9779546</stp>
        <tr r="K17" s="1"/>
        <tr r="K17" s="1"/>
      </tp>
      <tp>
        <v>12910.74</v>
        <stp/>
        <stp>568</stp>
        <stp>9779546</stp>
        <tr r="K42" s="1"/>
        <tr r="K42" s="1"/>
      </tp>
      <tp>
        <v>1.29115</v>
        <stp/>
        <stp>569</stp>
        <stp>9779546</stp>
        <tr r="L44" s="1"/>
      </tp>
      <tp>
        <v>60537.36</v>
        <stp/>
        <stp>566</stp>
        <stp>9779546</stp>
        <tr r="J40" s="1"/>
        <tr r="J40" s="1"/>
      </tp>
      <tp>
        <v>13850.69</v>
        <stp/>
        <stp>567</stp>
        <stp>9779546</stp>
        <tr r="K42" s="1"/>
      </tp>
      <tp>
        <v>7.8417000000000003</v>
        <stp/>
        <stp>564</stp>
        <stp>9779546</stp>
        <tr r="V38" s="1"/>
      </tp>
      <tp>
        <v>64931.19</v>
        <stp/>
        <stp>565</stp>
        <stp>9779546</stp>
        <tr r="J40" s="1"/>
      </tp>
      <tp>
        <v>25207.18</v>
        <stp/>
        <stp>562</stp>
        <stp>9779546</stp>
        <tr r="I38" s="1"/>
      </tp>
      <tp>
        <v>23496.89</v>
        <stp/>
        <stp>563</stp>
        <stp>9779546</stp>
        <tr r="I38" s="1"/>
        <tr r="I38" s="1"/>
      </tp>
      <tp>
        <v>8791.2999999999993</v>
        <stp/>
        <stp>560</stp>
        <stp>9779546</stp>
        <tr r="H36" s="1"/>
        <tr r="H36" s="1"/>
      </tp>
      <tp>
        <v>0.69940000000000002</v>
        <stp/>
        <stp>561</stp>
        <stp>9779546</stp>
        <tr r="U36" s="1"/>
      </tp>
      <tp>
        <v>6200.36</v>
        <stp/>
        <stp>578</stp>
        <stp>9779546</stp>
        <tr r="H15" s="1"/>
      </tp>
      <tp>
        <v>6180.44</v>
        <stp/>
        <stp>579</stp>
        <stp>9779546</stp>
        <tr r="H15" s="1"/>
        <tr r="H15" s="1"/>
      </tp>
      <tp>
        <v>67992.36</v>
        <stp/>
        <stp>576</stp>
        <stp>9779546</stp>
        <tr r="J10" s="1"/>
        <tr r="J10" s="1"/>
      </tp>
      <tp>
        <v>6396.8</v>
        <stp/>
        <stp>577</stp>
        <stp>9779546</stp>
        <tr r="S13" s="1"/>
      </tp>
      <tp>
        <v>5.0837000000000003</v>
        <stp/>
        <stp>574</stp>
        <stp>9779546</stp>
        <tr r="V8" s="1"/>
      </tp>
      <tp>
        <v>66383.259999999995</v>
        <stp/>
        <stp>575</stp>
        <stp>9779546</stp>
        <tr r="J10" s="1"/>
      </tp>
      <tp>
        <v>174041.95</v>
        <stp/>
        <stp>572</stp>
        <stp>9779546</stp>
        <tr r="I8" s="1"/>
      </tp>
      <tp>
        <v>172020.68</v>
        <stp/>
        <stp>573</stp>
        <stp>9779546</stp>
        <tr r="I8" s="1"/>
        <tr r="I8" s="1"/>
      </tp>
      <tp>
        <v>32.131</v>
        <stp/>
        <stp>570</stp>
        <stp>9779546</stp>
        <tr r="M46" s="1"/>
      </tp>
      <tp>
        <v>-2.89</v>
        <stp/>
        <stp>571</stp>
        <stp>9779546</stp>
        <tr r="N23" s="1"/>
      </tp>
      <tp>
        <v>1090.53</v>
        <stp/>
        <stp>548</stp>
        <stp>9779546</stp>
        <tr r="H22" s="1"/>
        <tr r="H22" s="1"/>
      </tp>
      <tp>
        <v>1.1380999999999999</v>
        <stp/>
        <stp>549</stp>
        <stp>9779546</stp>
        <tr r="U22" s="1"/>
      </tp>
      <tp>
        <v>1.1741999999999999</v>
        <stp/>
        <stp>546</stp>
        <stp>9779546</stp>
        <tr r="O20" s="1"/>
      </tp>
      <tp>
        <v>1090.04</v>
        <stp/>
        <stp>547</stp>
        <stp>9779546</stp>
        <tr r="H22" s="1"/>
      </tp>
      <tp>
        <v>1.1412500000000001</v>
        <stp/>
        <stp>544</stp>
        <stp>9779546</stp>
        <tr r="M16" s="1"/>
      </tp>
      <tp>
        <v>-2.89</v>
        <stp/>
        <stp>545</stp>
        <stp>9779546</stp>
        <tr r="N18" s="1"/>
      </tp>
      <tp>
        <v>3.23</v>
        <stp/>
        <stp>542</stp>
        <stp>9779546</stp>
        <tr r="N9" s="1"/>
      </tp>
      <tp>
        <v>1.1415</v>
        <stp/>
        <stp>543</stp>
        <stp>9779546</stp>
        <tr r="L14" s="1"/>
      </tp>
      <tp>
        <v>14327.2</v>
        <stp/>
        <stp>540</stp>
        <stp>9779546</stp>
        <tr r="R33" s="1"/>
      </tp>
      <tp>
        <v>1.2927</v>
        <stp/>
        <stp>541</stp>
        <stp>9779546</stp>
        <tr r="M44" s="1"/>
      </tp>
      <tp>
        <v>3.26</v>
        <stp/>
        <stp>558</stp>
        <stp>9779546</stp>
        <tr r="O33" s="1"/>
      </tp>
      <tp>
        <v>8894</v>
        <stp/>
        <stp>559</stp>
        <stp>9779546</stp>
        <tr r="H36" s="1"/>
      </tp>
      <tp>
        <v>1782.73</v>
        <stp/>
        <stp>556</stp>
        <stp>9779546</stp>
        <tr r="K29" s="1"/>
        <tr r="K29" s="1"/>
      </tp>
      <tp>
        <v>4.96</v>
        <stp/>
        <stp>557</stp>
        <stp>9779546</stp>
        <tr r="N31" s="1"/>
      </tp>
      <tp>
        <v>10321.09</v>
        <stp/>
        <stp>554</stp>
        <stp>9779546</stp>
        <tr r="J27" s="1"/>
        <tr r="J27" s="1"/>
      </tp>
      <tp>
        <v>1833.36</v>
        <stp/>
        <stp>555</stp>
        <stp>9779546</stp>
        <tr r="K29" s="1"/>
      </tp>
      <tp>
        <v>1.1367</v>
        <stp/>
        <stp>552</stp>
        <stp>9779546</stp>
        <tr r="V24" s="1"/>
      </tp>
      <tp>
        <v>10781.75</v>
        <stp/>
        <stp>553</stp>
        <stp>9779546</stp>
        <tr r="J27" s="1"/>
      </tp>
      <tp>
        <v>3211.83</v>
        <stp/>
        <stp>550</stp>
        <stp>9779546</stp>
        <tr r="I24" s="1"/>
      </tp>
      <tp>
        <v>3103.64</v>
        <stp/>
        <stp>551</stp>
        <stp>9779546</stp>
        <tr r="I24" s="1"/>
        <tr r="I24" s="1"/>
      </tp>
      <tp>
        <v>16.528400000000001</v>
        <stp/>
        <stp>528</stp>
        <stp>9779546</stp>
        <tr r="L49" s="1"/>
      </tp>
      <tp>
        <v>1.1741999999999999</v>
        <stp/>
        <stp>529</stp>
        <stp>9779546</stp>
        <tr r="O25" s="1"/>
      </tp>
      <tp>
        <v>1646</v>
        <stp/>
        <stp>526</stp>
        <stp>9779546</stp>
        <tr r="H47" s="1"/>
        <tr r="H47" s="1"/>
      </tp>
      <tp>
        <v>33.6</v>
        <stp/>
        <stp>527</stp>
        <stp>9779546</stp>
        <tr r="U47" s="1"/>
      </tp>
      <tp>
        <v>6516.27</v>
        <stp/>
        <stp>524</stp>
        <stp>9779546</stp>
        <tr r="S45" s="1"/>
      </tp>
      <tp>
        <v>1624.47</v>
        <stp/>
        <stp>525</stp>
        <stp>9779546</stp>
        <tr r="H47" s="1"/>
      </tp>
      <tp>
        <v>0.67</v>
        <stp/>
        <stp>522</stp>
        <stp>9779546</stp>
        <tr r="O41" s="1"/>
      </tp>
      <tp>
        <v>3215.91</v>
        <stp/>
        <stp>523</stp>
        <stp>9779546</stp>
        <tr r="R43" s="1"/>
      </tp>
      <tp>
        <v>6.7941500000000001</v>
        <stp/>
        <stp>520</stp>
        <stp>9779546</stp>
        <tr r="M37" s="1"/>
      </tp>
      <tp>
        <v>1.77</v>
        <stp/>
        <stp>521</stp>
        <stp>9779546</stp>
        <tr r="N39" s="1"/>
      </tp>
      <tp>
        <v>-1.03</v>
        <stp/>
        <stp>538</stp>
        <stp>9779546</stp>
        <tr r="N37" s="1"/>
      </tp>
      <tp>
        <v>1713.09</v>
        <stp/>
        <stp>539</stp>
        <stp>9779546</stp>
        <tr r="R41" s="1"/>
      </tp>
      <tp t="s">
        <v>The record could not be found (Error code: 0)</v>
        <stp/>
        <stp>536</stp>
        <stp>9779546</stp>
        <tr r="K34" s="1"/>
      </tp>
      <tp t="s">
        <v>Unable to resolve all requested identifiers.</v>
        <stp/>
        <stp>537</stp>
        <stp>9779546</stp>
        <tr r="K34" s="1"/>
        <tr r="K34" s="1"/>
      </tp>
      <tp>
        <v>3217.886</v>
        <stp/>
        <stp>534</stp>
        <stp>9779546</stp>
        <tr r="J32" s="1"/>
      </tp>
      <tp>
        <v>3079.7550000000001</v>
        <stp/>
        <stp>535</stp>
        <stp>9779546</stp>
        <tr r="J32" s="1"/>
        <tr r="J32" s="1"/>
      </tp>
      <tp>
        <v>2273.5500000000002</v>
        <stp/>
        <stp>532</stp>
        <stp>9779546</stp>
        <tr r="I30" s="1"/>
        <tr r="I30" s="1"/>
      </tp>
      <tp>
        <v>9.5754999999999999</v>
        <stp/>
        <stp>533</stp>
        <stp>9779546</stp>
        <tr r="V30" s="1"/>
      </tp>
      <tp>
        <v>2654.46</v>
        <stp/>
        <stp>530</stp>
        <stp>9779546</stp>
        <tr r="R28" s="1"/>
      </tp>
      <tp>
        <v>2377.4899999999998</v>
        <stp/>
        <stp>531</stp>
        <stp>9779546</stp>
        <tr r="I30" s="1"/>
      </tp>
      <tp>
        <v>2029.8789999999999</v>
        <stp/>
        <stp>508</stp>
        <stp>9779546</stp>
        <tr r="J21" s="1"/>
        <tr r="J21" s="1"/>
      </tp>
      <tp>
        <v>1.1412500000000001</v>
        <stp/>
        <stp>509</stp>
        <stp>9779546</stp>
        <tr r="M23" s="1"/>
      </tp>
      <tp>
        <v>1.1367</v>
        <stp/>
        <stp>506</stp>
        <stp>9779546</stp>
        <tr r="V19" s="1"/>
      </tp>
      <tp>
        <v>2066.6197000000002</v>
        <stp/>
        <stp>507</stp>
        <stp>9779546</stp>
        <tr r="J21" s="1"/>
      </tp>
      <tp>
        <v>13571.59</v>
        <stp/>
        <stp>504</stp>
        <stp>9779546</stp>
        <tr r="I19" s="1"/>
      </tp>
      <tp>
        <v>13960.76</v>
        <stp/>
        <stp>505</stp>
        <stp>9779546</stp>
        <tr r="I19" s="1"/>
        <tr r="I19" s="1"/>
      </tp>
      <tp>
        <v>24846.69</v>
        <stp/>
        <stp>502</stp>
        <stp>9779546</stp>
        <tr r="H17" s="1"/>
        <tr r="H17" s="1"/>
      </tp>
      <tp>
        <v>1.1380999999999999</v>
        <stp/>
        <stp>503</stp>
        <stp>9779546</stp>
        <tr r="U17" s="1"/>
      </tp>
      <tp>
        <v>6180.44</v>
        <stp/>
        <stp>500</stp>
        <stp>9779546</stp>
        <tr r="S15" s="1"/>
      </tp>
      <tp>
        <v>25099</v>
        <stp/>
        <stp>501</stp>
        <stp>9779546</stp>
        <tr r="H17" s="1"/>
      </tp>
      <tp t="s">
        <v>Unable to resolve all requested identifiers.</v>
        <stp/>
        <stp>518</stp>
        <stp>9779546</stp>
        <tr r="J34" s="1"/>
      </tp>
      <tp t="s">
        <v>Unable to resolve all requested identifiers.</v>
        <stp/>
        <stp>519</stp>
        <stp>9779546</stp>
        <tr r="J34" s="1"/>
        <tr r="J34" s="1"/>
      </tp>
      <tp>
        <v>3205.462</v>
        <stp/>
        <stp>516</stp>
        <stp>9779546</stp>
        <tr r="I32" s="1"/>
        <tr r="I32" s="1"/>
      </tp>
      <tp>
        <v>9.7124000000000006</v>
        <stp/>
        <stp>517</stp>
        <stp>9779546</stp>
        <tr r="V32" s="1"/>
      </tp>
      <tp>
        <v>9.6399000000000008</v>
        <stp/>
        <stp>514</stp>
        <stp>9779546</stp>
        <tr r="U30" s="1"/>
      </tp>
      <tp>
        <v>3199.6149999999998</v>
        <stp/>
        <stp>515</stp>
        <stp>9779546</stp>
        <tr r="I32" s="1"/>
      </tp>
      <tp>
        <v>2377.4899999999998</v>
        <stp/>
        <stp>512</stp>
        <stp>9779546</stp>
        <tr r="H30" s="1"/>
      </tp>
      <tp>
        <v>2294.4499999999998</v>
        <stp/>
        <stp>513</stp>
        <stp>9779546</stp>
        <tr r="H30" s="1"/>
        <tr r="H30" s="1"/>
      </tp>
      <tp>
        <v>-2.89</v>
        <stp/>
        <stp>510</stp>
        <stp>9779546</stp>
        <tr r="N25" s="1"/>
      </tp>
      <tp>
        <v>3.3</v>
        <stp/>
        <stp>511</stp>
        <stp>9779546</stp>
        <tr r="O28" s="1"/>
      </tp>
      <tp>
        <v>2.81</v>
        <stp/>
        <stp>588</stp>
        <stp>9779546</stp>
        <tr r="O9" s="1"/>
      </tp>
      <tp>
        <v>1.1412500000000001</v>
        <stp/>
        <stp>589</stp>
        <stp>9779546</stp>
        <tr r="M14" s="1"/>
      </tp>
      <tp>
        <v>2066.6197000000002</v>
        <stp/>
        <stp>586</stp>
        <stp>9779546</stp>
        <tr r="K21" s="1"/>
      </tp>
      <tp>
        <v>1592.9</v>
        <stp/>
        <stp>587</stp>
        <stp>9779546</stp>
        <tr r="K21" s="1"/>
        <tr r="K21" s="1"/>
      </tp>
      <tp>
        <v>13699.61</v>
        <stp/>
        <stp>584</stp>
        <stp>9779546</stp>
        <tr r="J19" s="1"/>
      </tp>
      <tp>
        <v>12222.44</v>
        <stp/>
        <stp>585</stp>
        <stp>9779546</stp>
        <tr r="J19" s="1"/>
        <tr r="J19" s="1"/>
      </tp>
      <tp>
        <v>25465.25</v>
        <stp/>
        <stp>582</stp>
        <stp>9779546</stp>
        <tr r="I17" s="1"/>
        <tr r="I17" s="1"/>
      </tp>
      <tp>
        <v>1.1367</v>
        <stp/>
        <stp>583</stp>
        <stp>9779546</stp>
        <tr r="V17" s="1"/>
      </tp>
      <tp>
        <v>1.1380999999999999</v>
        <stp/>
        <stp>580</stp>
        <stp>9779546</stp>
        <tr r="U15" s="1"/>
      </tp>
      <tp>
        <v>25099</v>
        <stp/>
        <stp>581</stp>
        <stp>9779546</stp>
        <tr r="I17" s="1"/>
      </tp>
      <tp>
        <v>1079</v>
        <stp/>
        <stp>594</stp>
        <stp>9779546</stp>
        <tr r="I22" s="1"/>
        <tr r="I22" s="1"/>
      </tp>
      <tp>
        <v>0.58384999999999998</v>
        <stp/>
        <stp>595</stp>
        <stp>9779546</stp>
        <tr r="L42" s="1"/>
      </tp>
      <tp>
        <v>51802.23</v>
        <stp/>
        <stp>592</stp>
        <stp>9779546</stp>
        <tr r="R20" s="1"/>
      </tp>
      <tp>
        <v>1090.04</v>
        <stp/>
        <stp>593</stp>
        <stp>9779546</stp>
        <tr r="I22" s="1"/>
      </tp>
      <tp>
        <v>-2.89</v>
        <stp/>
        <stp>590</stp>
        <stp>9779546</stp>
        <tr r="N16" s="1"/>
      </tp>
      <tp>
        <v>1.1741999999999999</v>
        <stp/>
        <stp>591</stp>
        <stp>9779546</stp>
        <tr r="O18" s="1"/>
      </tp>
      <tp>
        <v>1.1380999999999999</v>
        <stp/>
        <stp>468</stp>
        <stp>9779546</stp>
        <tr r="U19" s="1"/>
      </tp>
      <tp>
        <v>2063.0264000000002</v>
        <stp/>
        <stp>469</stp>
        <stp>9779546</stp>
        <tr r="I21" s="1"/>
      </tp>
      <tp>
        <v>13571.59</v>
        <stp/>
        <stp>466</stp>
        <stp>9779546</stp>
        <tr r="H19" s="1"/>
      </tp>
      <tp>
        <v>13461.6</v>
        <stp/>
        <stp>467</stp>
        <stp>9779546</stp>
        <tr r="H19" s="1"/>
        <tr r="H19" s="1"/>
      </tp>
      <tp>
        <v>6200.36</v>
        <stp/>
        <stp>464</stp>
        <stp>9779546</stp>
        <tr r="R15" s="1"/>
      </tp>
      <tp>
        <v>24846.69</v>
        <stp/>
        <stp>465</stp>
        <stp>9779546</stp>
        <tr r="S17" s="1"/>
      </tp>
      <tp>
        <v>17.431699999999999</v>
        <stp/>
        <stp>462</stp>
        <stp>9779546</stp>
        <tr r="U10" s="1"/>
      </tp>
      <tp>
        <v>1.1741999999999999</v>
        <stp/>
        <stp>463</stp>
        <stp>9779546</stp>
        <tr r="O13" s="1"/>
      </tp>
      <tp>
        <v>66383.259999999995</v>
        <stp/>
        <stp>460</stp>
        <stp>9779546</stp>
        <tr r="H10" s="1"/>
      </tp>
      <tp>
        <v>66122.78</v>
        <stp/>
        <stp>461</stp>
        <stp>9779546</stp>
        <tr r="H10" s="1"/>
        <tr r="H10" s="1"/>
      </tp>
      <tp t="s">
        <v>Unable to resolve all requested identifiers.</v>
        <stp/>
        <stp>478</stp>
        <stp>9779546</stp>
        <tr r="I34" s="1"/>
      </tp>
      <tp t="s">
        <v>Unable to resolve all requested identifiers.</v>
        <stp/>
        <stp>479</stp>
        <stp>9779546</stp>
        <tr r="I34" s="1"/>
        <tr r="I34" s="1"/>
      </tp>
      <tp>
        <v>3133.9969999999998</v>
        <stp/>
        <stp>476</stp>
        <stp>9779546</stp>
        <tr r="H32" s="1"/>
        <tr r="H32" s="1"/>
      </tp>
      <tp>
        <v>9.7141999999999999</v>
        <stp/>
        <stp>477</stp>
        <stp>9779546</stp>
        <tr r="U32" s="1"/>
      </tp>
      <tp>
        <v>2294.4499999999998</v>
        <stp/>
        <stp>474</stp>
        <stp>9779546</stp>
        <tr r="S30" s="1"/>
      </tp>
      <tp>
        <v>3199.6149999999998</v>
        <stp/>
        <stp>475</stp>
        <stp>9779546</stp>
        <tr r="H32" s="1"/>
      </tp>
      <tp>
        <v>1.1412500000000001</v>
        <stp/>
        <stp>472</stp>
        <stp>9779546</stp>
        <tr r="M25" s="1"/>
      </tp>
      <tp>
        <v>2.33</v>
        <stp/>
        <stp>473</stp>
        <stp>9779546</stp>
        <tr r="N28" s="1"/>
      </tp>
      <tp>
        <v>2100.0816</v>
        <stp/>
        <stp>470</stp>
        <stp>9779546</stp>
        <tr r="I21" s="1"/>
        <tr r="I21" s="1"/>
      </tp>
      <tp>
        <v>1.1415</v>
        <stp/>
        <stp>471</stp>
        <stp>9779546</stp>
        <tr r="L23" s="1"/>
      </tp>
      <tp>
        <v>1.1412500000000001</v>
        <stp/>
        <stp>448</stp>
        <stp>9779546</stp>
        <tr r="M20" s="1"/>
      </tp>
      <tp>
        <v>163.65</v>
        <stp/>
        <stp>449</stp>
        <stp>9779546</stp>
        <tr r="U40" s="1"/>
      </tp>
      <tp>
        <v>8406.06</v>
        <stp/>
        <stp>446</stp>
        <stp>9779546</stp>
        <tr r="K16" s="1"/>
      </tp>
      <tp>
        <v>7800.88</v>
        <stp/>
        <stp>447</stp>
        <stp>9779546</stp>
        <tr r="K16" s="1"/>
        <tr r="K16" s="1"/>
      </tp>
      <tp>
        <v>1.8</v>
        <stp/>
        <stp>444</stp>
        <stp>9779546</stp>
        <tr r="O45" s="1"/>
      </tp>
      <tp>
        <v>1624.47</v>
        <stp/>
        <stp>445</stp>
        <stp>9779546</stp>
        <tr r="R47" s="1"/>
      </tp>
      <tp>
        <v>3597.9369000000002</v>
        <stp/>
        <stp>442</stp>
        <stp>9779546</stp>
        <tr r="K37" s="1"/>
        <tr r="K37" s="1"/>
      </tp>
      <tp>
        <v>3.69</v>
        <stp/>
        <stp>443</stp>
        <stp>9779546</stp>
        <tr r="N43" s="1"/>
      </tp>
      <tp>
        <v>7672.94</v>
        <stp/>
        <stp>440</stp>
        <stp>9779546</stp>
        <tr r="K23" s="1"/>
        <tr r="K23" s="1"/>
      </tp>
      <tp>
        <v>3858.2449999999999</v>
        <stp/>
        <stp>441</stp>
        <stp>9779546</stp>
        <tr r="K37" s="1"/>
      </tp>
      <tp>
        <v>1.1380999999999999</v>
        <stp/>
        <stp>458</stp>
        <stp>9779546</stp>
        <tr r="U24" s="1"/>
      </tp>
      <tp>
        <v>173371.35</v>
        <stp/>
        <stp>459</stp>
        <stp>9779546</stp>
        <tr r="S8" s="1"/>
      </tp>
      <tp>
        <v>1.1415</v>
        <stp/>
        <stp>456</stp>
        <stp>9779546</stp>
        <tr r="L18" s="1"/>
      </tp>
      <tp>
        <v>8894</v>
        <stp/>
        <stp>457</stp>
        <stp>9779546</stp>
        <tr r="R36" s="1"/>
      </tp>
      <tp>
        <v>3179.37</v>
        <stp/>
        <stp>454</stp>
        <stp>9779546</stp>
        <tr r="H24" s="1"/>
        <tr r="H24" s="1"/>
      </tp>
      <tp>
        <v>1.4069</v>
        <stp/>
        <stp>455</stp>
        <stp>9779546</stp>
        <tr r="L9" s="1"/>
      </tp>
      <tp>
        <v>-2.89</v>
        <stp/>
        <stp>452</stp>
        <stp>9779546</stp>
        <tr r="N20" s="1"/>
      </tp>
      <tp>
        <v>3211.83</v>
        <stp/>
        <stp>453</stp>
        <stp>9779546</stp>
        <tr r="H24" s="1"/>
      </tp>
      <tp>
        <v>0.57869999999999999</v>
        <stp/>
        <stp>450</stp>
        <stp>9779546</stp>
        <tr r="V42" s="1"/>
      </tp>
      <tp>
        <v>-0.92</v>
        <stp/>
        <stp>451</stp>
        <stp>9779546</stp>
        <tr r="O43" s="1"/>
      </tp>
      <tp>
        <v>163.84</v>
        <stp/>
        <stp>428</stp>
        <stp>9779546</stp>
        <tr r="V40" s="1"/>
      </tp>
      <tp>
        <v>8894</v>
        <stp/>
        <stp>429</stp>
        <stp>9779546</stp>
        <tr r="I36" s="1"/>
      </tp>
      <tp>
        <v>1090.53</v>
        <stp/>
        <stp>426</stp>
        <stp>9779546</stp>
        <tr r="S22" s="1"/>
      </tp>
      <tp>
        <v>8791.2999999999993</v>
        <stp/>
        <stp>427</stp>
        <stp>9779546</stp>
        <tr r="S36" s="1"/>
      </tp>
      <tp>
        <v>5620.24</v>
        <stp/>
        <stp>424</stp>
        <stp>9779546</stp>
        <tr r="J44" s="1"/>
      </tp>
      <tp>
        <v>4892.7299999999996</v>
        <stp/>
        <stp>425</stp>
        <stp>9779546</stp>
        <tr r="J44" s="1"/>
        <tr r="J44" s="1"/>
      </tp>
      <tp>
        <v>10524.76</v>
        <stp/>
        <stp>422</stp>
        <stp>9779546</stp>
        <tr r="H27" s="1"/>
        <tr r="H27" s="1"/>
      </tp>
      <tp>
        <v>0.80805000000000005</v>
        <stp/>
        <stp>423</stp>
        <stp>9779546</stp>
        <tr r="M33" s="1"/>
      </tp>
      <tp>
        <v>5355.49</v>
        <stp/>
        <stp>420</stp>
        <stp>9779546</stp>
        <tr r="J14" s="1"/>
        <tr r="J14" s="1"/>
      </tp>
      <tp>
        <v>10736.23</v>
        <stp/>
        <stp>421</stp>
        <stp>9779546</stp>
        <tr r="H27" s="1"/>
      </tp>
      <tp>
        <v>2052.0538999999999</v>
        <stp/>
        <stp>438</stp>
        <stp>9779546</stp>
        <tr r="H21" s="1"/>
        <tr r="H21" s="1"/>
      </tp>
      <tp>
        <v>9122.0300000000007</v>
        <stp/>
        <stp>439</stp>
        <stp>9779546</stp>
        <tr r="K23" s="1"/>
      </tp>
      <tp>
        <v>13461.6</v>
        <stp/>
        <stp>436</stp>
        <stp>9779546</stp>
        <tr r="S19" s="1"/>
      </tp>
      <tp>
        <v>2063.0264000000002</v>
        <stp/>
        <stp>437</stp>
        <stp>9779546</stp>
        <tr r="H21" s="1"/>
      </tp>
      <tp>
        <v>1.1741999999999999</v>
        <stp/>
        <stp>434</stp>
        <stp>9779546</stp>
        <tr r="O15" s="1"/>
      </tp>
      <tp>
        <v>25099</v>
        <stp/>
        <stp>435</stp>
        <stp>9779546</stp>
        <tr r="R17" s="1"/>
      </tp>
      <tp>
        <v>66122.78</v>
        <stp/>
        <stp>432</stp>
        <stp>9779546</stp>
        <tr r="S10" s="1"/>
      </tp>
      <tp>
        <v>-2.89</v>
        <stp/>
        <stp>433</stp>
        <stp>9779546</stp>
        <tr r="N13" s="1"/>
      </tp>
      <tp>
        <v>8803.9</v>
        <stp/>
        <stp>430</stp>
        <stp>9779546</stp>
        <tr r="I36" s="1"/>
        <tr r="I36" s="1"/>
      </tp>
      <tp>
        <v>174041.95</v>
        <stp/>
        <stp>431</stp>
        <stp>9779546</stp>
        <tr r="R8" s="1"/>
      </tp>
      <tp>
        <v>3211.83</v>
        <stp/>
        <stp>408</stp>
        <stp>9779546</stp>
        <tr r="R24" s="1"/>
      </tp>
      <tp>
        <v>10524.76</v>
        <stp/>
        <stp>409</stp>
        <stp>9779546</stp>
        <tr r="S27" s="1"/>
      </tp>
      <tp>
        <v>1.1415</v>
        <stp/>
        <stp>406</stp>
        <stp>9779546</stp>
        <tr r="L20" s="1"/>
      </tp>
      <tp>
        <v>1.1741999999999999</v>
        <stp/>
        <stp>407</stp>
        <stp>9779546</stp>
        <tr r="O22" s="1"/>
      </tp>
      <tp>
        <v>2517.84</v>
        <stp/>
        <stp>404</stp>
        <stp>9779546</stp>
        <tr r="K18" s="1"/>
      </tp>
      <tp>
        <v>1950.12</v>
        <stp/>
        <stp>405</stp>
        <stp>9779546</stp>
        <tr r="K18" s="1"/>
        <tr r="K18" s="1"/>
      </tp>
      <tp>
        <v>8406.06</v>
        <stp/>
        <stp>402</stp>
        <stp>9779546</stp>
        <tr r="J16" s="1"/>
      </tp>
      <tp>
        <v>8141.92</v>
        <stp/>
        <stp>403</stp>
        <stp>9779546</stp>
        <tr r="J16" s="1"/>
        <tr r="J16" s="1"/>
      </tp>
      <tp>
        <v>5724.43</v>
        <stp/>
        <stp>400</stp>
        <stp>9779546</stp>
        <tr r="I14" s="1"/>
        <tr r="I14" s="1"/>
      </tp>
      <tp>
        <v>1.1367</v>
        <stp/>
        <stp>401</stp>
        <stp>9779546</stp>
        <tr r="V14" s="1"/>
      </tp>
      <tp>
        <v>96.45</v>
        <stp/>
        <stp>418</stp>
        <stp>9779546</stp>
        <tr r="L39" s="1"/>
      </tp>
      <tp>
        <v>5707.41</v>
        <stp/>
        <stp>419</stp>
        <stp>9779546</stp>
        <tr r="J14" s="1"/>
      </tp>
      <tp t="s">
        <v>Unable to resolve all requested identifiers.</v>
        <stp/>
        <stp>416</stp>
        <stp>9779546</stp>
        <tr r="H34" s="1"/>
      </tp>
      <tp t="s">
        <v>Unable to resolve all requested identifiers.</v>
        <stp/>
        <stp>417</stp>
        <stp>9779546</stp>
        <tr r="H34" s="1"/>
        <tr r="H34" s="1"/>
      </tp>
      <tp>
        <v>0.81010000000000004</v>
        <stp/>
        <stp>414</stp>
        <stp>9779546</stp>
        <tr r="L33" s="1"/>
      </tp>
      <tp>
        <v>2377.4899999999998</v>
        <stp/>
        <stp>415</stp>
        <stp>9779546</stp>
        <tr r="R30" s="1"/>
      </tp>
      <tp>
        <v>3834.33</v>
        <stp/>
        <stp>412</stp>
        <stp>9779546</stp>
        <tr r="K31" s="1"/>
      </tp>
      <tp>
        <v>2906.6</v>
        <stp/>
        <stp>413</stp>
        <stp>9779546</stp>
        <tr r="K31" s="1"/>
        <tr r="K31" s="1"/>
      </tp>
      <tp>
        <v>1830.99</v>
        <stp/>
        <stp>410</stp>
        <stp>9779546</stp>
        <tr r="H29" s="1"/>
      </tp>
      <tp>
        <v>1895.32</v>
        <stp/>
        <stp>411</stp>
        <stp>9779546</stp>
        <tr r="H29" s="1"/>
        <tr r="H29" s="1"/>
      </tp>
      <tp>
        <v>25207.18</v>
        <stp/>
        <stp>488</stp>
        <stp>9779546</stp>
        <tr r="J38" s="1"/>
      </tp>
      <tp>
        <v>25925.65</v>
        <stp/>
        <stp>489</stp>
        <stp>9779546</stp>
        <tr r="J38" s="1"/>
        <tr r="J38" s="1"/>
      </tp>
      <tp>
        <v>10781.75</v>
        <stp/>
        <stp>486</stp>
        <stp>9779546</stp>
        <tr r="K27" s="1"/>
      </tp>
      <tp>
        <v>9081.44</v>
        <stp/>
        <stp>487</stp>
        <stp>9779546</stp>
        <tr r="K27" s="1"/>
        <tr r="K27" s="1"/>
      </tp>
      <tp>
        <v>10736.23</v>
        <stp/>
        <stp>484</stp>
        <stp>9779546</stp>
        <tr r="I27" s="1"/>
      </tp>
      <tp>
        <v>10665.88</v>
        <stp/>
        <stp>485</stp>
        <stp>9779546</stp>
        <tr r="I27" s="1"/>
        <tr r="I27" s="1"/>
      </tp>
      <tp>
        <v>3.05</v>
        <stp/>
        <stp>482</stp>
        <stp>9779546</stp>
        <tr r="N41" s="1"/>
      </tp>
      <tp>
        <v>1.1412500000000001</v>
        <stp/>
        <stp>483</stp>
        <stp>9779546</stp>
        <tr r="M18" s="1"/>
      </tp>
      <tp>
        <v>6.7669499999999996</v>
        <stp/>
        <stp>480</stp>
        <stp>9779546</stp>
        <tr r="L37" s="1"/>
      </tp>
      <tp>
        <v>94.97</v>
        <stp/>
        <stp>481</stp>
        <stp>9779546</stp>
        <tr r="M39" s="1"/>
      </tp>
      <tp>
        <v>17.477</v>
        <stp/>
        <stp>498</stp>
        <stp>9779546</stp>
        <tr r="V10" s="1"/>
      </tp>
      <tp>
        <v>6455.88</v>
        <stp/>
        <stp>499</stp>
        <stp>9779546</stp>
        <tr r="R13" s="1"/>
      </tp>
      <tp>
        <v>66383.259999999995</v>
        <stp/>
        <stp>496</stp>
        <stp>9779546</stp>
        <tr r="I10" s="1"/>
      </tp>
      <tp>
        <v>66674.7</v>
        <stp/>
        <stp>497</stp>
        <stp>9779546</stp>
        <tr r="I10" s="1"/>
        <tr r="I10" s="1"/>
      </tp>
      <tp>
        <v>7.8418999999999999</v>
        <stp/>
        <stp>494</stp>
        <stp>9779546</stp>
        <tr r="U38" s="1"/>
      </tp>
      <tp>
        <v>5.1036000000000001</v>
        <stp/>
        <stp>495</stp>
        <stp>9779546</stp>
        <tr r="U8" s="1"/>
      </tp>
      <tp>
        <v>4594.12</v>
        <stp/>
        <stp>492</stp>
        <stp>9779546</stp>
        <tr r="K14" s="1"/>
        <tr r="K14" s="1"/>
      </tp>
      <tp>
        <v>1.1415</v>
        <stp/>
        <stp>493</stp>
        <stp>9779546</stp>
        <tr r="L16" s="1"/>
      </tp>
      <tp>
        <v>1.42005</v>
        <stp/>
        <stp>490</stp>
        <stp>9779546</stp>
        <tr r="M9" s="1"/>
      </tp>
      <tp>
        <v>5707.41</v>
        <stp/>
        <stp>491</stp>
        <stp>9779546</stp>
        <tr r="K14" s="1"/>
      </tp>
      <tp>
        <v>33.645000000000003</v>
        <stp/>
        <stp>168</stp>
        <stp>9779546</stp>
        <tr r="L47" s="1"/>
      </tp>
      <tp>
        <v>0.42</v>
        <stp/>
        <stp>169</stp>
        <stp>9779546</stp>
        <tr r="O42" s="1"/>
      </tp>
      <tp>
        <v>3215.91</v>
        <stp/>
        <stp>166</stp>
        <stp>9779546</stp>
        <tr r="J43" s="1"/>
      </tp>
      <tp>
        <v>3215.91</v>
        <stp/>
        <stp>167</stp>
        <stp>9779546</stp>
        <tr r="J43" s="1"/>
        <tr r="J43" s="1"/>
      </tp>
      <tp>
        <v>1713.09</v>
        <stp/>
        <stp>164</stp>
        <stp>9779546</stp>
        <tr r="I41" s="1"/>
      </tp>
      <tp>
        <v>1682.93</v>
        <stp/>
        <stp>165</stp>
        <stp>9779546</stp>
        <tr r="I41" s="1"/>
        <tr r="I41" s="1"/>
      </tp>
      <tp>
        <v>76835.78</v>
        <stp/>
        <stp>162</stp>
        <stp>9779546</stp>
        <tr r="H39" s="1"/>
      </tp>
      <tp>
        <v>77708.52</v>
        <stp/>
        <stp>163</stp>
        <stp>9779546</stp>
        <tr r="H39" s="1"/>
        <tr r="H39" s="1"/>
      </tp>
      <tp>
        <v>21.207000000000001</v>
        <stp/>
        <stp>160</stp>
        <stp>9779546</stp>
        <tr r="V28" s="1"/>
      </tp>
      <tp>
        <v>2.12</v>
        <stp/>
        <stp>161</stp>
        <stp>9779546</stp>
        <tr r="N34" s="1"/>
      </tp>
      <tp>
        <v>7503.85</v>
        <stp/>
        <stp>178</stp>
        <stp>9779546</stp>
        <tr r="I11" s="1"/>
        <tr r="I11" s="1"/>
      </tp>
      <tp>
        <v>5734.78</v>
        <stp/>
        <stp>179</stp>
        <stp>9779546</stp>
        <tr r="R14" s="1"/>
      </tp>
      <tp>
        <v>1.4109</v>
        <stp/>
        <stp>176</stp>
        <stp>9779546</stp>
        <tr r="U9" s="1"/>
      </tp>
      <tp>
        <v>7411.98</v>
        <stp/>
        <stp>177</stp>
        <stp>9779546</stp>
        <tr r="I11" s="1"/>
      </tp>
      <tp>
        <v>35369.1</v>
        <stp/>
        <stp>174</stp>
        <stp>9779546</stp>
        <tr r="H9" s="1"/>
      </tp>
      <tp>
        <v>34960.32</v>
        <stp/>
        <stp>175</stp>
        <stp>9779546</stp>
        <tr r="H9" s="1"/>
        <tr r="H9" s="1"/>
      </tp>
      <tp>
        <v>3858.2449999999999</v>
        <stp/>
        <stp>172</stp>
        <stp>9779546</stp>
        <tr r="H37" s="1"/>
      </tp>
      <tp>
        <v>3796.2813999999998</v>
        <stp/>
        <stp>173</stp>
        <stp>9779546</stp>
        <tr r="H37" s="1"/>
        <tr r="H37" s="1"/>
      </tp>
      <tp>
        <v>109398.05</v>
        <stp/>
        <stp>170</stp>
        <stp>9779546</stp>
        <tr r="R49" s="1"/>
      </tp>
      <tp>
        <v>5.53</v>
        <stp/>
        <stp>171</stp>
        <stp>9779546</stp>
        <tr r="N32" s="1"/>
      </tp>
      <tp>
        <v>5.0900499999999997</v>
        <stp/>
        <stp>148</stp>
        <stp>9779546</stp>
        <tr r="L8" s="1"/>
      </tp>
      <tp>
        <v>17.515350000000002</v>
        <stp/>
        <stp>149</stp>
        <stp>9779546</stp>
        <tr r="M10" s="1"/>
      </tp>
      <tp>
        <v>16.295649999999998</v>
        <stp/>
        <stp>146</stp>
        <stp>9779546</stp>
        <tr r="M49" s="1"/>
      </tp>
      <tp>
        <v>2.68</v>
        <stp/>
        <stp>147</stp>
        <stp>9779546</stp>
        <tr r="N46" s="1"/>
      </tp>
      <tp>
        <v>42449.7</v>
        <stp/>
        <stp>144</stp>
        <stp>9779546</stp>
        <tr r="S46" s="1"/>
      </tp>
      <tp>
        <v>96.5625</v>
        <stp/>
        <stp>145</stp>
        <stp>9779546</stp>
        <tr r="V39" s="1"/>
      </tp>
      <tp>
        <v>16.7302</v>
        <stp/>
        <stp>142</stp>
        <stp>9779546</stp>
        <tr r="U49" s="1"/>
      </tp>
      <tp>
        <v>2.69</v>
        <stp/>
        <stp>143</stp>
        <stp>9779546</stp>
        <tr r="N40" s="1"/>
      </tp>
      <tp>
        <v>1.1415</v>
        <stp/>
        <stp>140</stp>
        <stp>9779546</stp>
        <tr r="L24" s="1"/>
      </tp>
      <tp>
        <v>162.10499999999999</v>
        <stp/>
        <stp>141</stp>
        <stp>9779546</stp>
        <tr r="M40" s="1"/>
      </tp>
      <tp>
        <v>19585.400000000001</v>
        <stp/>
        <stp>158</stp>
        <stp>9779546</stp>
        <tr r="H25" s="1"/>
      </tp>
      <tp>
        <v>19206.900000000001</v>
        <stp/>
        <stp>159</stp>
        <stp>9779546</stp>
        <tr r="H25" s="1"/>
        <tr r="H25" s="1"/>
      </tp>
      <tp>
        <v>-2.89</v>
        <stp/>
        <stp>156</stp>
        <stp>9779546</stp>
        <tr r="N21" s="1"/>
      </tp>
      <tp>
        <v>9070.7099999999991</v>
        <stp/>
        <stp>157</stp>
        <stp>9779546</stp>
        <tr r="S23" s="1"/>
      </tp>
      <tp>
        <v>1.1415</v>
        <stp/>
        <stp>154</stp>
        <stp>9779546</stp>
        <tr r="L17" s="1"/>
      </tp>
      <tp>
        <v>1.1412500000000001</v>
        <stp/>
        <stp>155</stp>
        <stp>9779546</stp>
        <tr r="M19" s="1"/>
      </tp>
      <tp>
        <v>6175.52</v>
        <stp/>
        <stp>152</stp>
        <stp>9779546</stp>
        <tr r="K15" s="1"/>
      </tp>
      <tp>
        <v>4917.92</v>
        <stp/>
        <stp>153</stp>
        <stp>9779546</stp>
        <tr r="K15" s="1"/>
        <tr r="K15" s="1"/>
      </tp>
      <tp>
        <v>6354.29</v>
        <stp/>
        <stp>150</stp>
        <stp>9779546</stp>
        <tr r="J13" s="1"/>
      </tp>
      <tp>
        <v>5763.77</v>
        <stp/>
        <stp>151</stp>
        <stp>9779546</stp>
        <tr r="J13" s="1"/>
        <tr r="J13" s="1"/>
      </tp>
      <tp>
        <v>33.344999999999999</v>
        <stp/>
        <stp>128</stp>
        <stp>9779546</stp>
        <tr r="M47" s="1"/>
      </tp>
      <tp>
        <v>34960.32</v>
        <stp/>
        <stp>129</stp>
        <stp>9779546</stp>
        <tr r="S9" s="1"/>
      </tp>
      <tp>
        <v>3215.91</v>
        <stp/>
        <stp>126</stp>
        <stp>9779546</stp>
        <tr r="K43" s="1"/>
      </tp>
      <tp>
        <v>3215.91</v>
        <stp/>
        <stp>127</stp>
        <stp>9779546</stp>
        <tr r="K43" s="1"/>
        <tr r="K43" s="1"/>
      </tp>
      <tp>
        <v>95.91</v>
        <stp/>
        <stp>124</stp>
        <stp>9779546</stp>
        <tr r="U39" s="1"/>
      </tp>
      <tp>
        <v>6.73</v>
        <stp/>
        <stp>125</stp>
        <stp>9779546</stp>
        <tr r="O34" s="1"/>
      </tp>
      <tp>
        <v>9.6771999999999991</v>
        <stp/>
        <stp>122</stp>
        <stp>9779546</stp>
        <tr r="L30" s="1"/>
      </tp>
      <tp>
        <v>9.6949500000000004</v>
        <stp/>
        <stp>123</stp>
        <stp>9779546</stp>
        <tr r="M32" s="1"/>
      </tp>
      <tp>
        <v>2654.46</v>
        <stp/>
        <stp>120</stp>
        <stp>9779546</stp>
        <tr r="I28" s="1"/>
      </tp>
      <tp>
        <v>2613.2600000000002</v>
        <stp/>
        <stp>121</stp>
        <stp>9779546</stp>
        <tr r="I28" s="1"/>
        <tr r="I28" s="1"/>
      </tp>
      <tp>
        <v>1081.1300000000001</v>
        <stp/>
        <stp>138</stp>
        <stp>9779546</stp>
        <tr r="K22" s="1"/>
      </tp>
      <tp>
        <v>908.04</v>
        <stp/>
        <stp>139</stp>
        <stp>9779546</stp>
        <tr r="K22" s="1"/>
        <tr r="K22" s="1"/>
      </tp>
      <tp>
        <v>51862.79</v>
        <stp/>
        <stp>136</stp>
        <stp>9779546</stp>
        <tr r="H20" s="1"/>
        <tr r="H20" s="1"/>
      </tp>
      <tp>
        <v>1.1380999999999999</v>
        <stp/>
        <stp>137</stp>
        <stp>9779546</stp>
        <tr r="U20" s="1"/>
      </tp>
      <tp>
        <v>2449.91</v>
        <stp/>
        <stp>134</stp>
        <stp>9779546</stp>
        <tr r="S18" s="1"/>
      </tp>
      <tp>
        <v>51802.23</v>
        <stp/>
        <stp>135</stp>
        <stp>9779546</stp>
        <tr r="H20" s="1"/>
      </tp>
      <tp>
        <v>1.1741999999999999</v>
        <stp/>
        <stp>132</stp>
        <stp>9779546</stp>
        <tr r="O14" s="1"/>
      </tp>
      <tp>
        <v>8372.2800000000007</v>
        <stp/>
        <stp>133</stp>
        <stp>9779546</stp>
        <tr r="R16" s="1"/>
      </tp>
      <tp>
        <v>7411.98</v>
        <stp/>
        <stp>130</stp>
        <stp>9779546</stp>
        <tr r="H11" s="1"/>
      </tp>
      <tp>
        <v>7443.28</v>
        <stp/>
        <stp>131</stp>
        <stp>9779546</stp>
        <tr r="H11" s="1"/>
        <tr r="H11" s="1"/>
      </tp>
      <tp>
        <v>1878.33</v>
        <stp/>
        <stp>108</stp>
        <stp>9779546</stp>
        <tr r="K30" s="1"/>
        <tr r="K30" s="1"/>
      </tp>
      <tp>
        <v>9.6816999999999993</v>
        <stp/>
        <stp>109</stp>
        <stp>9779546</stp>
        <tr r="L32" s="1"/>
      </tp>
      <tp>
        <v>21.231999999999999</v>
        <stp/>
        <stp>106</stp>
        <stp>9779546</stp>
        <tr r="U28" s="1"/>
      </tp>
      <tp>
        <v>2350.58</v>
        <stp/>
        <stp>107</stp>
        <stp>9779546</stp>
        <tr r="K30" s="1"/>
      </tp>
      <tp>
        <v>2654.46</v>
        <stp/>
        <stp>104</stp>
        <stp>9779546</stp>
        <tr r="H28" s="1"/>
      </tp>
      <tp>
        <v>2592.09</v>
        <stp/>
        <stp>105</stp>
        <stp>9779546</stp>
        <tr r="H28" s="1"/>
        <tr r="H28" s="1"/>
      </tp>
      <tp>
        <v>9215.11</v>
        <stp/>
        <stp>102</stp>
        <stp>9779546</stp>
        <tr r="R23" s="1"/>
      </tp>
      <tp>
        <v>19206.900000000001</v>
        <stp/>
        <stp>103</stp>
        <stp>9779546</stp>
        <tr r="S25" s="1"/>
      </tp>
      <tp>
        <v>1.1415</v>
        <stp/>
        <stp>100</stp>
        <stp>9779546</stp>
        <tr r="L19" s="1"/>
      </tp>
      <tp>
        <v>1.1412500000000001</v>
        <stp/>
        <stp>101</stp>
        <stp>9779546</stp>
        <tr r="M21" s="1"/>
      </tp>
      <tp>
        <v>43634.19</v>
        <stp/>
        <stp>118</stp>
        <stp>9779546</stp>
        <tr r="R46" s="1"/>
      </tp>
      <tp>
        <v>1.1380999999999999</v>
        <stp/>
        <stp>119</stp>
        <stp>9779546</stp>
        <tr r="U25" s="1"/>
      </tp>
      <tp>
        <v>14254.36</v>
        <stp/>
        <stp>116</stp>
        <stp>9779546</stp>
        <tr r="H33" s="1"/>
        <tr r="H33" s="1"/>
      </tp>
      <tp>
        <v>0.81810000000000005</v>
        <stp/>
        <stp>117</stp>
        <stp>9779546</stp>
        <tr r="U33" s="1"/>
      </tp>
      <tp>
        <v>6615.03</v>
        <stp/>
        <stp>114</stp>
        <stp>9779546</stp>
        <tr r="J45" s="1"/>
        <tr r="J45" s="1"/>
      </tp>
      <tp>
        <v>14327.2</v>
        <stp/>
        <stp>115</stp>
        <stp>9779546</stp>
        <tr r="H33" s="1"/>
      </tp>
      <tp>
        <v>77708.52</v>
        <stp/>
        <stp>112</stp>
        <stp>9779546</stp>
        <tr r="S39" s="1"/>
      </tp>
      <tp>
        <v>6755.75</v>
        <stp/>
        <stp>113</stp>
        <stp>9779546</stp>
        <tr r="J45" s="1"/>
      </tp>
      <tp>
        <v>44.382599999999996</v>
        <stp/>
        <stp>110</stp>
        <stp>9779546</stp>
        <tr r="M34" s="1"/>
      </tp>
      <tp>
        <v>3858.2449999999999</v>
        <stp/>
        <stp>111</stp>
        <stp>9779546</stp>
        <tr r="R37" s="1"/>
      </tp>
      <tp>
        <v>1.1412500000000001</v>
        <stp/>
        <stp>188</stp>
        <stp>9779546</stp>
        <tr r="M24" s="1"/>
      </tp>
      <tp>
        <v>-1.66</v>
        <stp/>
        <stp>189</stp>
        <stp>9779546</stp>
        <tr r="N27" s="1"/>
      </tp>
      <tp>
        <v>1.1367</v>
        <stp/>
        <stp>186</stp>
        <stp>9779546</stp>
        <tr r="V20" s="1"/>
      </tp>
      <tp>
        <v>1.1415</v>
        <stp/>
        <stp>187</stp>
        <stp>9779546</stp>
        <tr r="L22" s="1"/>
      </tp>
      <tp>
        <v>51802.23</v>
        <stp/>
        <stp>184</stp>
        <stp>9779546</stp>
        <tr r="I20" s="1"/>
      </tp>
      <tp>
        <v>52455.44</v>
        <stp/>
        <stp>185</stp>
        <stp>9779546</stp>
        <tr r="I20" s="1"/>
        <tr r="I20" s="1"/>
      </tp>
      <tp>
        <v>2449.91</v>
        <stp/>
        <stp>182</stp>
        <stp>9779546</stp>
        <tr r="H18" s="1"/>
        <tr r="H18" s="1"/>
      </tp>
      <tp>
        <v>1.1380999999999999</v>
        <stp/>
        <stp>183</stp>
        <stp>9779546</stp>
        <tr r="U18" s="1"/>
      </tp>
      <tp>
        <v>8340.11</v>
        <stp/>
        <stp>180</stp>
        <stp>9779546</stp>
        <tr r="S16" s="1"/>
      </tp>
      <tp>
        <v>2517.84</v>
        <stp/>
        <stp>181</stp>
        <stp>9779546</stp>
        <tr r="H18" s="1"/>
      </tp>
      <tp>
        <v>6755.75</v>
        <stp/>
        <stp>198</stp>
        <stp>9779546</stp>
        <tr r="H45" s="1"/>
      </tp>
      <tp>
        <v>6516.27</v>
        <stp/>
        <stp>199</stp>
        <stp>9779546</stp>
        <tr r="H45" s="1"/>
        <tr r="H45" s="1"/>
      </tp>
      <tp>
        <v>0.81810000000000005</v>
        <stp/>
        <stp>196</stp>
        <stp>9779546</stp>
        <tr r="V33" s="1"/>
      </tp>
      <tp>
        <v>0.69969999999999999</v>
        <stp/>
        <stp>197</stp>
        <stp>9779546</stp>
        <tr r="L36" s="1"/>
      </tp>
      <tp>
        <v>14327.2</v>
        <stp/>
        <stp>194</stp>
        <stp>9779546</stp>
        <tr r="I33" s="1"/>
      </tp>
      <tp>
        <v>14360.45</v>
        <stp/>
        <stp>195</stp>
        <stp>9779546</stp>
        <tr r="I33" s="1"/>
        <tr r="I33" s="1"/>
      </tp>
      <tp>
        <v>3784.15</v>
        <stp/>
        <stp>192</stp>
        <stp>9779546</stp>
        <tr r="H31" s="1"/>
        <tr r="H31" s="1"/>
      </tp>
      <tp>
        <v>3.7953000000000001</v>
        <stp/>
        <stp>193</stp>
        <stp>9779546</stp>
        <tr r="U31" s="1"/>
      </tp>
      <tp>
        <v>3.28</v>
        <stp/>
        <stp>190</stp>
        <stp>9779546</stp>
        <tr r="O29" s="1"/>
      </tp>
      <tp>
        <v>3826.08</v>
        <stp/>
        <stp>191</stp>
        <stp>9779546</stp>
        <tr r="H31" s="1"/>
      </tp>
      <tp>
        <v>25207.18</v>
        <stp/>
        <stp>368</stp>
        <stp>9779546</stp>
        <tr r="R38" s="1"/>
      </tp>
      <tp>
        <v>1.1415</v>
        <stp/>
        <stp>369</stp>
        <stp>9779546</stp>
        <tr r="L25" s="1"/>
      </tp>
      <tp>
        <v>80891.02</v>
        <stp/>
        <stp>366</stp>
        <stp>9779546</stp>
        <tr r="K39" s="1"/>
        <tr r="K39" s="1"/>
      </tp>
      <tp>
        <v>-0.67</v>
        <stp/>
        <stp>367</stp>
        <stp>9779546</stp>
        <tr r="N45" s="1"/>
      </tp>
      <tp>
        <v>32.322000000000003</v>
        <stp/>
        <stp>364</stp>
        <stp>9779546</stp>
        <tr r="V46" s="1"/>
      </tp>
      <tp>
        <v>76835.78</v>
        <stp/>
        <stp>365</stp>
        <stp>9779546</stp>
        <tr r="K39" s="1"/>
      </tp>
      <tp>
        <v>43634.19</v>
        <stp/>
        <stp>362</stp>
        <stp>9779546</stp>
        <tr r="I46" s="1"/>
      </tp>
      <tp>
        <v>45479.11</v>
        <stp/>
        <stp>363</stp>
        <stp>9779546</stp>
        <tr r="I46" s="1"/>
        <tr r="I46" s="1"/>
      </tp>
      <tp>
        <v>5498.95</v>
        <stp/>
        <stp>360</stp>
        <stp>9779546</stp>
        <tr r="H44" s="1"/>
        <tr r="H44" s="1"/>
      </tp>
      <tp>
        <v>1.2907999999999999</v>
        <stp/>
        <stp>361</stp>
        <stp>9779546</stp>
        <tr r="U44" s="1"/>
      </tp>
      <tp>
        <v>4241.1400000000003</v>
        <stp/>
        <stp>378</stp>
        <stp>9779546</stp>
        <tr r="K44" s="1"/>
        <tr r="K44" s="1"/>
      </tp>
      <tp>
        <v>3215.91</v>
        <stp/>
        <stp>379</stp>
        <stp>9779546</stp>
        <tr r="S43" s="1"/>
      </tp>
      <tp>
        <v>1736.06</v>
        <stp/>
        <stp>376</stp>
        <stp>9779546</stp>
        <tr r="J29" s="1"/>
        <tr r="J29" s="1"/>
      </tp>
      <tp>
        <v>5620.24</v>
        <stp/>
        <stp>377</stp>
        <stp>9779546</stp>
        <tr r="K44" s="1"/>
      </tp>
      <tp>
        <v>98696.39</v>
        <stp/>
        <stp>374</stp>
        <stp>9779546</stp>
        <tr r="K49" s="1"/>
        <tr r="K49" s="1"/>
      </tp>
      <tp>
        <v>1833.36</v>
        <stp/>
        <stp>375</stp>
        <stp>9779546</stp>
        <tr r="J29" s="1"/>
      </tp>
      <tp>
        <v>7443.28</v>
        <stp/>
        <stp>372</stp>
        <stp>9779546</stp>
        <tr r="S11" s="1"/>
      </tp>
      <tp>
        <v>110109.6</v>
        <stp/>
        <stp>373</stp>
        <stp>9779546</stp>
        <tr r="K49" s="1"/>
      </tp>
      <tp>
        <v>110109.6</v>
        <stp/>
        <stp>370</stp>
        <stp>9779546</stp>
        <tr r="J49" s="1"/>
      </tp>
      <tp>
        <v>116565.97</v>
        <stp/>
        <stp>371</stp>
        <stp>9779546</stp>
        <tr r="J49" s="1"/>
        <tr r="J49" s="1"/>
      </tp>
      <tp>
        <v>1.1741999999999999</v>
        <stp/>
        <stp>348</stp>
        <stp>9779546</stp>
        <tr r="O24" s="1"/>
      </tp>
      <tp>
        <v>10736.23</v>
        <stp/>
        <stp>349</stp>
        <stp>9779546</stp>
        <tr r="R27" s="1"/>
      </tp>
      <tp>
        <v>40732.339999999997</v>
        <stp/>
        <stp>346</stp>
        <stp>9779546</stp>
        <tr r="K20" s="1"/>
        <tr r="K20" s="1"/>
      </tp>
      <tp>
        <v>-2.89</v>
        <stp/>
        <stp>347</stp>
        <stp>9779546</stp>
        <tr r="N22" s="1"/>
      </tp>
      <tp>
        <v>2222.04</v>
        <stp/>
        <stp>344</stp>
        <stp>9779546</stp>
        <tr r="J18" s="1"/>
        <tr r="J18" s="1"/>
      </tp>
      <tp>
        <v>52054.95</v>
        <stp/>
        <stp>345</stp>
        <stp>9779546</stp>
        <tr r="K20" s="1"/>
      </tp>
      <tp>
        <v>1.1367</v>
        <stp/>
        <stp>342</stp>
        <stp>9779546</stp>
        <tr r="V16" s="1"/>
      </tp>
      <tp>
        <v>2517.84</v>
        <stp/>
        <stp>343</stp>
        <stp>9779546</stp>
        <tr r="J18" s="1"/>
      </tp>
      <tp>
        <v>8372.2800000000007</v>
        <stp/>
        <stp>340</stp>
        <stp>9779546</stp>
        <tr r="I16" s="1"/>
      </tp>
      <tp>
        <v>8436.24</v>
        <stp/>
        <stp>341</stp>
        <stp>9779546</stp>
        <tr r="I16" s="1"/>
        <tr r="I16" s="1"/>
      </tp>
      <tp>
        <v>13696.03</v>
        <stp/>
        <stp>358</stp>
        <stp>9779546</stp>
        <tr r="S42" s="1"/>
      </tp>
      <tp>
        <v>5620.24</v>
        <stp/>
        <stp>359</stp>
        <stp>9779546</stp>
        <tr r="H44" s="1"/>
      </tp>
      <tp>
        <v>0.77</v>
        <stp/>
        <stp>356</stp>
        <stp>9779546</stp>
        <tr r="O38" s="1"/>
      </tp>
      <tp>
        <v>64931.19</v>
        <stp/>
        <stp>357</stp>
        <stp>9779546</stp>
        <tr r="R40" s="1"/>
      </tp>
      <tp>
        <v>11914.95</v>
        <stp/>
        <stp>354</stp>
        <stp>9779546</stp>
        <tr r="K33" s="1"/>
        <tr r="K33" s="1"/>
      </tp>
      <tp>
        <v>-2.15</v>
        <stp/>
        <stp>355</stp>
        <stp>9779546</stp>
        <tr r="N36" s="1"/>
      </tp>
      <tp>
        <v>3528.9</v>
        <stp/>
        <stp>352</stp>
        <stp>9779546</stp>
        <tr r="J31" s="1"/>
        <tr r="J31" s="1"/>
      </tp>
      <tp>
        <v>14421.97</v>
        <stp/>
        <stp>353</stp>
        <stp>9779546</stp>
        <tr r="K33" s="1"/>
      </tp>
      <tp>
        <v>6.5738000000000003</v>
        <stp/>
        <stp>350</stp>
        <stp>9779546</stp>
        <tr r="V29" s="1"/>
      </tp>
      <tp>
        <v>3834.33</v>
        <stp/>
        <stp>351</stp>
        <stp>9779546</stp>
        <tr r="J31" s="1"/>
      </tp>
      <tp>
        <v>3.7691499999999998</v>
        <stp/>
        <stp>328</stp>
        <stp>9779546</stp>
        <tr r="M31" s="1"/>
      </tp>
      <tp>
        <v>6.74</v>
        <stp/>
        <stp>329</stp>
        <stp>9779546</stp>
        <tr r="O39" s="1"/>
      </tp>
      <tp>
        <v>13762.79</v>
        <stp/>
        <stp>326</stp>
        <stp>9779546</stp>
        <tr r="I42" s="1"/>
        <tr r="I42" s="1"/>
      </tp>
      <tp>
        <v>6755.75</v>
        <stp/>
        <stp>327</stp>
        <stp>9779546</stp>
        <tr r="R45" s="1"/>
      </tp>
      <tp>
        <v>25143.05</v>
        <stp/>
        <stp>324</stp>
        <stp>9779546</stp>
        <tr r="S38" s="1"/>
      </tp>
      <tp>
        <v>13850.69</v>
        <stp/>
        <stp>325</stp>
        <stp>9779546</stp>
        <tr r="I42" s="1"/>
      </tp>
      <tp>
        <v>1830.99</v>
        <stp/>
        <stp>322</stp>
        <stp>9779546</stp>
        <tr r="I29" s="1"/>
      </tp>
      <tp>
        <v>1892.13</v>
        <stp/>
        <stp>323</stp>
        <stp>9779546</stp>
        <tr r="I29" s="1"/>
        <tr r="I29" s="1"/>
      </tp>
      <tp>
        <v>1090.04</v>
        <stp/>
        <stp>320</stp>
        <stp>9779546</stp>
        <tr r="R22" s="1"/>
      </tp>
      <tp>
        <v>1.3306</v>
        <stp/>
        <stp>321</stp>
        <stp>9779546</stp>
        <tr r="U27" s="1"/>
      </tp>
      <tp>
        <v>5618.77</v>
        <stp/>
        <stp>338</stp>
        <stp>9779546</stp>
        <tr r="H14" s="1"/>
        <tr r="H14" s="1"/>
      </tp>
      <tp>
        <v>1.1380999999999999</v>
        <stp/>
        <stp>339</stp>
        <stp>9779546</stp>
        <tr r="U14" s="1"/>
      </tp>
      <tp>
        <v>6388.64</v>
        <stp/>
        <stp>336</stp>
        <stp>9779546</stp>
        <tr r="K11" s="1"/>
        <tr r="K11" s="1"/>
      </tp>
      <tp>
        <v>5734.78</v>
        <stp/>
        <stp>337</stp>
        <stp>9779546</stp>
        <tr r="H14" s="1"/>
      </tp>
      <tp>
        <v>33818.19</v>
        <stp/>
        <stp>334</stp>
        <stp>9779546</stp>
        <tr r="J9" s="1"/>
        <tr r="J9" s="1"/>
      </tp>
      <tp>
        <v>7411.98</v>
        <stp/>
        <stp>335</stp>
        <stp>9779546</stp>
        <tr r="K11" s="1"/>
      </tp>
      <tp>
        <v>40998.269999999997</v>
        <stp/>
        <stp>332</stp>
        <stp>9779546</stp>
        <tr r="K40" s="1"/>
        <tr r="K40" s="1"/>
      </tp>
      <tp>
        <v>35369.1</v>
        <stp/>
        <stp>333</stp>
        <stp>9779546</stp>
        <tr r="J9" s="1"/>
      </tp>
      <tp>
        <v>1466.41</v>
        <stp/>
        <stp>330</stp>
        <stp>9779546</stp>
        <tr r="U45" s="1"/>
      </tp>
      <tp>
        <v>64931.19</v>
        <stp/>
        <stp>331</stp>
        <stp>9779546</stp>
        <tr r="K40" s="1"/>
      </tp>
      <tp>
        <v>-4.16</v>
        <stp/>
        <stp>308</stp>
        <stp>9779546</stp>
        <tr r="O30" s="1"/>
      </tp>
      <tp>
        <v>3199.6149999999998</v>
        <stp/>
        <stp>309</stp>
        <stp>9779546</stp>
        <tr r="R32" s="1"/>
      </tp>
      <tp>
        <v>13571.59</v>
        <stp/>
        <stp>306</stp>
        <stp>9779546</stp>
        <tr r="R19" s="1"/>
      </tp>
      <tp>
        <v>1.1367</v>
        <stp/>
        <stp>307</stp>
        <stp>9779546</stp>
        <tr r="V21" s="1"/>
      </tp>
      <tp>
        <v>66383.259999999995</v>
        <stp/>
        <stp>304</stp>
        <stp>9779546</stp>
        <tr r="R10" s="1"/>
      </tp>
      <tp>
        <v>1.1412500000000001</v>
        <stp/>
        <stp>305</stp>
        <stp>9779546</stp>
        <tr r="M13" s="1"/>
      </tp>
      <tp>
        <v>1514.09</v>
        <stp/>
        <stp>302</stp>
        <stp>9779546</stp>
        <tr r="M45" s="1"/>
      </tp>
      <tp>
        <v>3.96</v>
        <stp/>
        <stp>303</stp>
        <stp>9779546</stp>
        <tr r="N47" s="1"/>
      </tp>
      <tp>
        <v>1529.38</v>
        <stp/>
        <stp>300</stp>
        <stp>9779546</stp>
        <tr r="K41" s="1"/>
        <tr r="K41" s="1"/>
      </tp>
      <tp>
        <v>78.575000000000003</v>
        <stp/>
        <stp>301</stp>
        <stp>9779546</stp>
        <tr r="L43" s="1"/>
      </tp>
      <tp>
        <v>1.2901</v>
        <stp/>
        <stp>318</stp>
        <stp>9779546</stp>
        <tr r="V44" s="1"/>
      </tp>
      <tp>
        <v>3133.9969999999998</v>
        <stp/>
        <stp>319</stp>
        <stp>9779546</stp>
        <tr r="S32" s="1"/>
      </tp>
      <tp>
        <v>5620.24</v>
        <stp/>
        <stp>316</stp>
        <stp>9779546</stp>
        <tr r="I44" s="1"/>
      </tp>
      <tp>
        <v>5342.24</v>
        <stp/>
        <stp>317</stp>
        <stp>9779546</stp>
        <tr r="I44" s="1"/>
        <tr r="I44" s="1"/>
      </tp>
      <tp>
        <v>13850.69</v>
        <stp/>
        <stp>314</stp>
        <stp>9779546</stp>
        <tr r="H42" s="1"/>
      </tp>
      <tp>
        <v>13696.03</v>
        <stp/>
        <stp>315</stp>
        <stp>9779546</stp>
        <tr r="H42" s="1"/>
        <tr r="H42" s="1"/>
      </tp>
      <tp>
        <v>109398.05</v>
        <stp/>
        <stp>312</stp>
        <stp>9779546</stp>
        <tr r="I49" s="1"/>
      </tp>
      <tp>
        <v>110325.45</v>
        <stp/>
        <stp>313</stp>
        <stp>9779546</stp>
        <tr r="I49" s="1"/>
        <tr r="I49" s="1"/>
      </tp>
      <tp>
        <v>44.816200000000002</v>
        <stp/>
        <stp>310</stp>
        <stp>9779546</stp>
        <tr r="V34" s="1"/>
      </tp>
      <tp>
        <v>76.459999999999994</v>
        <stp/>
        <stp>311</stp>
        <stp>9779546</stp>
        <tr r="M43" s="1"/>
      </tp>
      <tp>
        <v>25207.18</v>
        <stp/>
        <stp>388</stp>
        <stp>9779546</stp>
        <tr r="H38" s="1"/>
      </tp>
      <tp>
        <v>25143.05</v>
        <stp/>
        <stp>389</stp>
        <stp>9779546</stp>
        <tr r="H38" s="1"/>
        <tr r="H38" s="1"/>
      </tp>
      <tp>
        <v>64141.120000000003</v>
        <stp/>
        <stp>386</stp>
        <stp>9779546</stp>
        <tr r="H40" s="1"/>
        <tr r="H40" s="1"/>
      </tp>
      <tp>
        <v>4.3</v>
        <stp/>
        <stp>387</stp>
        <stp>9779546</stp>
        <tr r="N33" s="1"/>
      </tp>
      <tp>
        <v>3179.37</v>
        <stp/>
        <stp>384</stp>
        <stp>9779546</stp>
        <tr r="S24" s="1"/>
      </tp>
      <tp>
        <v>64931.19</v>
        <stp/>
        <stp>385</stp>
        <stp>9779546</stp>
        <tr r="H40" s="1"/>
      </tp>
      <tp>
        <v>0.69789999999999996</v>
        <stp/>
        <stp>382</stp>
        <stp>9779546</stp>
        <tr r="V36" s="1"/>
      </tp>
      <tp>
        <v>4.07</v>
        <stp/>
        <stp>383</stp>
        <stp>9779546</stp>
        <tr r="M41" s="1"/>
      </tp>
      <tp>
        <v>3213.7</v>
        <stp/>
        <stp>380</stp>
        <stp>9779546</stp>
        <tr r="J24" s="1"/>
      </tp>
      <tp t="s">
        <v>NULL</v>
        <stp/>
        <stp>381</stp>
        <stp>9779546</stp>
        <tr r="J24" s="1"/>
        <tr r="J24" s="1"/>
      </tp>
      <tp>
        <v>7411.98</v>
        <stp/>
        <stp>398</stp>
        <stp>9779546</stp>
        <tr r="R11" s="1"/>
      </tp>
      <tp>
        <v>5734.78</v>
        <stp/>
        <stp>399</stp>
        <stp>9779546</stp>
        <tr r="I14" s="1"/>
      </tp>
      <tp>
        <v>35369.1</v>
        <stp/>
        <stp>396</stp>
        <stp>9779546</stp>
        <tr r="K9" s="1"/>
      </tp>
      <tp>
        <v>27494.35</v>
        <stp/>
        <stp>397</stp>
        <stp>9779546</stp>
        <tr r="K9" s="1"/>
        <tr r="K9" s="1"/>
      </tp>
      <tp>
        <v>32.295000000000002</v>
        <stp/>
        <stp>394</stp>
        <stp>9779546</stp>
        <tr r="L46" s="1"/>
      </tp>
      <tp>
        <v>1.1367</v>
        <stp/>
        <stp>395</stp>
        <stp>9779546</stp>
        <tr r="V22" s="1"/>
      </tp>
      <tp>
        <v>13850.69</v>
        <stp/>
        <stp>392</stp>
        <stp>9779546</stp>
        <tr r="J42" s="1"/>
      </tp>
      <tp>
        <v>12874.94</v>
        <stp/>
        <stp>393</stp>
        <stp>9779546</stp>
        <tr r="J42" s="1"/>
        <tr r="J42" s="1"/>
      </tp>
      <tp>
        <v>64931.19</v>
        <stp/>
        <stp>390</stp>
        <stp>9779546</stp>
        <tr r="I40" s="1"/>
      </tp>
      <tp>
        <v>68256.960000000006</v>
        <stp/>
        <stp>391</stp>
        <stp>9779546</stp>
        <tr r="I40" s="1"/>
        <tr r="I40" s="1"/>
      </tp>
      <tp>
        <v>21.236999999999998</v>
        <stp/>
        <stp>268</stp>
        <stp>9779546</stp>
        <tr r="M28" s="1"/>
      </tp>
      <tp>
        <v>3.7963</v>
        <stp/>
        <stp>269</stp>
        <stp>9779546</stp>
        <tr r="L31" s="1"/>
      </tp>
      <tp>
        <v>43634.19</v>
        <stp/>
        <stp>266</stp>
        <stp>9779546</stp>
        <tr r="J46" s="1"/>
      </tp>
      <tp>
        <v>39616.629999999997</v>
        <stp/>
        <stp>267</stp>
        <stp>9779546</stp>
        <tr r="J46" s="1"/>
        <tr r="J46" s="1"/>
      </tp>
      <tp>
        <v>64141.120000000003</v>
        <stp/>
        <stp>264</stp>
        <stp>9779546</stp>
        <tr r="S40" s="1"/>
      </tp>
      <tp>
        <v>0.57799999999999996</v>
        <stp/>
        <stp>265</stp>
        <stp>9779546</stp>
        <tr r="U42" s="1"/>
      </tp>
      <tp>
        <v>6.73</v>
        <stp/>
        <stp>262</stp>
        <stp>9779546</stp>
        <tr r="O47" s="1"/>
      </tp>
      <tp>
        <v>4.83</v>
        <stp/>
        <stp>263</stp>
        <stp>9779546</stp>
        <tr r="O36" s="1"/>
      </tp>
      <tp>
        <v>4086.3442</v>
        <stp/>
        <stp>260</stp>
        <stp>9779546</stp>
        <tr r="J37" s="1"/>
        <tr r="J37" s="1"/>
      </tp>
      <tp>
        <v>4.0925000000000002</v>
        <stp/>
        <stp>261</stp>
        <stp>9779546</stp>
        <tr r="L41" s="1"/>
      </tp>
      <tp>
        <v>-3.18</v>
        <stp/>
        <stp>278</stp>
        <stp>9779546</stp>
        <tr r="O10" s="1"/>
      </tp>
      <tp>
        <v>1.1415</v>
        <stp/>
        <stp>279</stp>
        <stp>9779546</stp>
        <tr r="L13" s="1"/>
      </tp>
      <tp>
        <v>5.89</v>
        <stp/>
        <stp>276</stp>
        <stp>9779546</stp>
        <tr r="O31" s="1"/>
      </tp>
      <tp>
        <v>2.4900000000000002</v>
        <stp/>
        <stp>277</stp>
        <stp>9779546</stp>
        <tr r="N8" s="1"/>
      </tp>
      <tp>
        <v>1624.47</v>
        <stp/>
        <stp>274</stp>
        <stp>9779546</stp>
        <tr r="I47" s="1"/>
      </tp>
      <tp>
        <v>1604.13</v>
        <stp/>
        <stp>275</stp>
        <stp>9779546</stp>
        <tr r="I47" s="1"/>
        <tr r="I47" s="1"/>
      </tp>
      <tp>
        <v>1646</v>
        <stp/>
        <stp>272</stp>
        <stp>9779546</stp>
        <tr r="S47" s="1"/>
      </tp>
      <tp>
        <v>1.3319000000000001</v>
        <stp/>
        <stp>273</stp>
        <stp>9779546</stp>
        <tr r="V27" s="1"/>
      </tp>
      <tp>
        <v>43634.19</v>
        <stp/>
        <stp>270</stp>
        <stp>9779546</stp>
        <tr r="K46" s="1"/>
      </tp>
      <tp>
        <v>23412.98</v>
        <stp/>
        <stp>271</stp>
        <stp>9779546</stp>
        <tr r="K46" s="1"/>
        <tr r="K46" s="1"/>
      </tp>
      <tp>
        <v>42449.7</v>
        <stp/>
        <stp>248</stp>
        <stp>9779546</stp>
        <tr r="H46" s="1"/>
        <tr r="H46" s="1"/>
      </tp>
      <tp>
        <v>32.29</v>
        <stp/>
        <stp>249</stp>
        <stp>9779546</stp>
        <tr r="U46" s="1"/>
      </tp>
      <tp>
        <v>5498.95</v>
        <stp/>
        <stp>246</stp>
        <stp>9779546</stp>
        <tr r="S44" s="1"/>
      </tp>
      <tp>
        <v>43634.19</v>
        <stp/>
        <stp>247</stp>
        <stp>9779546</stp>
        <tr r="H46" s="1"/>
      </tp>
      <tp>
        <v>4.47</v>
        <stp/>
        <stp>244</stp>
        <stp>9779546</stp>
        <tr r="O40" s="1"/>
      </tp>
      <tp>
        <v>13850.69</v>
        <stp/>
        <stp>245</stp>
        <stp>9779546</stp>
        <tr r="R42" s="1"/>
      </tp>
      <tp>
        <v>0.69284999999999997</v>
        <stp/>
        <stp>242</stp>
        <stp>9779546</stp>
        <tr r="M36" s="1"/>
      </tp>
      <tp>
        <v>0.09</v>
        <stp/>
        <stp>243</stp>
        <stp>9779546</stp>
        <tr r="N38" s="1"/>
      </tp>
      <tp>
        <v>14421.97</v>
        <stp/>
        <stp>240</stp>
        <stp>9779546</stp>
        <tr r="J33" s="1"/>
      </tp>
      <tp>
        <v>13165.23</v>
        <stp/>
        <stp>241</stp>
        <stp>9779546</stp>
        <tr r="J33" s="1"/>
        <tr r="J33" s="1"/>
      </tp>
      <tp>
        <v>21.202500000000001</v>
        <stp/>
        <stp>258</stp>
        <stp>9779546</stp>
        <tr r="L28" s="1"/>
      </tp>
      <tp>
        <v>3858.2449999999999</v>
        <stp/>
        <stp>259</stp>
        <stp>9779546</stp>
        <tr r="J37" s="1"/>
      </tp>
      <tp>
        <v>19741.3</v>
        <stp/>
        <stp>256</stp>
        <stp>9779546</stp>
        <tr r="K25" s="1"/>
      </tp>
      <tp>
        <v>14220.2</v>
        <stp/>
        <stp>257</stp>
        <stp>9779546</stp>
        <tr r="K25" s="1"/>
        <tr r="K25" s="1"/>
      </tp>
      <tp>
        <v>9122.0300000000007</v>
        <stp/>
        <stp>254</stp>
        <stp>9779546</stp>
        <tr r="J23" s="1"/>
      </tp>
      <tp>
        <v>9177.5499999999993</v>
        <stp/>
        <stp>255</stp>
        <stp>9779546</stp>
        <tr r="J23" s="1"/>
        <tr r="J23" s="1"/>
      </tp>
      <tp>
        <v>-2.89</v>
        <stp/>
        <stp>252</stp>
        <stp>9779546</stp>
        <tr r="N15" s="1"/>
      </tp>
      <tp>
        <v>1.1741999999999999</v>
        <stp/>
        <stp>253</stp>
        <stp>9779546</stp>
        <tr r="O17" s="1"/>
      </tp>
      <tp>
        <v>108936.2</v>
        <stp/>
        <stp>250</stp>
        <stp>9779546</stp>
        <tr r="S49" s="1"/>
      </tp>
      <tp>
        <v>-6.82</v>
        <stp/>
        <stp>251</stp>
        <stp>9779546</stp>
        <tr r="O8" s="1"/>
      </tp>
      <tp>
        <v>2517.84</v>
        <stp/>
        <stp>228</stp>
        <stp>9779546</stp>
        <tr r="I18" s="1"/>
      </tp>
      <tp>
        <v>2541.9899999999998</v>
        <stp/>
        <stp>229</stp>
        <stp>9779546</stp>
        <tr r="I18" s="1"/>
        <tr r="I18" s="1"/>
      </tp>
      <tp>
        <v>8340.11</v>
        <stp/>
        <stp>226</stp>
        <stp>9779546</stp>
        <tr r="H16" s="1"/>
        <tr r="H16" s="1"/>
      </tp>
      <tp>
        <v>1.1380999999999999</v>
        <stp/>
        <stp>227</stp>
        <stp>9779546</stp>
        <tr r="U16" s="1"/>
      </tp>
      <tp>
        <v>5618.77</v>
        <stp/>
        <stp>224</stp>
        <stp>9779546</stp>
        <tr r="S14" s="1"/>
      </tp>
      <tp>
        <v>8372.2800000000007</v>
        <stp/>
        <stp>225</stp>
        <stp>9779546</stp>
        <tr r="H16" s="1"/>
      </tp>
      <tp>
        <v>7411.98</v>
        <stp/>
        <stp>222</stp>
        <stp>9779546</stp>
        <tr r="J11" s="1"/>
      </tp>
      <tp>
        <v>7173.91</v>
        <stp/>
        <stp>223</stp>
        <stp>9779546</stp>
        <tr r="J11" s="1"/>
        <tr r="J11" s="1"/>
      </tp>
      <tp>
        <v>35272.589999999997</v>
        <stp/>
        <stp>220</stp>
        <stp>9779546</stp>
        <tr r="I9" s="1"/>
        <tr r="I9" s="1"/>
      </tp>
      <tp>
        <v>1.4092</v>
        <stp/>
        <stp>221</stp>
        <stp>9779546</stp>
        <tr r="V9" s="1"/>
      </tp>
      <tp>
        <v>3674.36</v>
        <stp/>
        <stp>238</stp>
        <stp>9779546</stp>
        <tr r="I31" s="1"/>
        <tr r="I31" s="1"/>
      </tp>
      <tp>
        <v>3.7926000000000002</v>
        <stp/>
        <stp>239</stp>
        <stp>9779546</stp>
        <tr r="V31" s="1"/>
      </tp>
      <tp>
        <v>6.5674999999999999</v>
        <stp/>
        <stp>236</stp>
        <stp>9779546</stp>
        <tr r="U29" s="1"/>
      </tp>
      <tp>
        <v>3826.08</v>
        <stp/>
        <stp>237</stp>
        <stp>9779546</stp>
        <tr r="I31" s="1"/>
      </tp>
      <tp>
        <v>-2.89</v>
        <stp/>
        <stp>234</stp>
        <stp>9779546</stp>
        <tr r="N24" s="1"/>
      </tp>
      <tp>
        <v>-1.24</v>
        <stp/>
        <stp>235</stp>
        <stp>9779546</stp>
        <tr r="O27" s="1"/>
      </tp>
      <tp>
        <v>47673.91</v>
        <stp/>
        <stp>232</stp>
        <stp>9779546</stp>
        <tr r="J20" s="1"/>
        <tr r="J20" s="1"/>
      </tp>
      <tp>
        <v>1.1412500000000001</v>
        <stp/>
        <stp>233</stp>
        <stp>9779546</stp>
        <tr r="M22" s="1"/>
      </tp>
      <tp>
        <v>1.1367</v>
        <stp/>
        <stp>230</stp>
        <stp>9779546</stp>
        <tr r="V18" s="1"/>
      </tp>
      <tp>
        <v>52054.95</v>
        <stp/>
        <stp>231</stp>
        <stp>9779546</stp>
        <tr r="J20" s="1"/>
      </tp>
      <tp>
        <v>1.1741999999999999</v>
        <stp/>
        <stp>208</stp>
        <stp>9779546</stp>
        <tr r="O21" s="1"/>
      </tp>
      <tp>
        <v>9215.11</v>
        <stp/>
        <stp>209</stp>
        <stp>9779546</stp>
        <tr r="H23" s="1"/>
      </tp>
      <tp>
        <v>1.1412500000000001</v>
        <stp/>
        <stp>206</stp>
        <stp>9779546</stp>
        <tr r="M17" s="1"/>
      </tp>
      <tp>
        <v>-2.89</v>
        <stp/>
        <stp>207</stp>
        <stp>9779546</stp>
        <tr r="N19" s="1"/>
      </tp>
      <tp>
        <v>4558.93</v>
        <stp/>
        <stp>204</stp>
        <stp>9779546</stp>
        <tr r="K13" s="1"/>
        <tr r="K13" s="1"/>
      </tp>
      <tp>
        <v>1.1415</v>
        <stp/>
        <stp>205</stp>
        <stp>9779546</stp>
        <tr r="L15" s="1"/>
      </tp>
      <tp>
        <v>0.31</v>
        <stp/>
        <stp>202</stp>
        <stp>9779546</stp>
        <tr r="N10" s="1"/>
      </tp>
      <tp>
        <v>6354.29</v>
        <stp/>
        <stp>203</stp>
        <stp>9779546</stp>
        <tr r="K13" s="1"/>
      </tp>
      <tp>
        <v>33.67</v>
        <stp/>
        <stp>200</stp>
        <stp>9779546</stp>
        <tr r="V47" s="1"/>
      </tp>
      <tp>
        <v>5.1587500000000004</v>
        <stp/>
        <stp>201</stp>
        <stp>9779546</stp>
        <tr r="M8" s="1"/>
      </tp>
      <tp>
        <v>16.8248</v>
        <stp/>
        <stp>218</stp>
        <stp>9779546</stp>
        <tr r="V49" s="1"/>
      </tp>
      <tp>
        <v>35369.1</v>
        <stp/>
        <stp>219</stp>
        <stp>9779546</stp>
        <tr r="I9" s="1"/>
      </tp>
      <tp>
        <v>2591.61</v>
        <stp/>
        <stp>216</stp>
        <stp>9779546</stp>
        <tr r="J28" s="1"/>
        <tr r="J28" s="1"/>
      </tp>
      <tp>
        <v>9.8026999999999997</v>
        <stp/>
        <stp>217</stp>
        <stp>9779546</stp>
        <tr r="M30" s="1"/>
      </tp>
      <tp>
        <v>1.1367</v>
        <stp/>
        <stp>214</stp>
        <stp>9779546</stp>
        <tr r="V25" s="1"/>
      </tp>
      <tp>
        <v>2686.26</v>
        <stp/>
        <stp>215</stp>
        <stp>9779546</stp>
        <tr r="J28" s="1"/>
      </tp>
      <tp>
        <v>19585.400000000001</v>
        <stp/>
        <stp>212</stp>
        <stp>9779546</stp>
        <tr r="I25" s="1"/>
      </tp>
      <tp>
        <v>19640.2</v>
        <stp/>
        <stp>213</stp>
        <stp>9779546</stp>
        <tr r="I25" s="1"/>
        <tr r="I25" s="1"/>
      </tp>
      <tp>
        <v>9070.7099999999991</v>
        <stp/>
        <stp>210</stp>
        <stp>9779546</stp>
        <tr r="H23" s="1"/>
        <tr r="H23" s="1"/>
      </tp>
      <tp>
        <v>1.1380999999999999</v>
        <stp/>
        <stp>211</stp>
        <stp>9779546</stp>
        <tr r="U23" s="1"/>
      </tp>
      <tp>
        <v>17692.900000000001</v>
        <stp/>
        <stp>288</stp>
        <stp>9779546</stp>
        <tr r="J25" s="1"/>
        <tr r="J25" s="1"/>
      </tp>
      <tp>
        <v>2686.26</v>
        <stp/>
        <stp>289</stp>
        <stp>9779546</stp>
        <tr r="K28" s="1"/>
      </tp>
      <tp>
        <v>1.1367</v>
        <stp/>
        <stp>286</stp>
        <stp>9779546</stp>
        <tr r="V23" s="1"/>
      </tp>
      <tp>
        <v>19741.3</v>
        <stp/>
        <stp>287</stp>
        <stp>9779546</stp>
        <tr r="J25" s="1"/>
      </tp>
      <tp>
        <v>9215.11</v>
        <stp/>
        <stp>284</stp>
        <stp>9779546</stp>
        <tr r="I23" s="1"/>
      </tp>
      <tp>
        <v>9249.11</v>
        <stp/>
        <stp>285</stp>
        <stp>9779546</stp>
        <tr r="I23" s="1"/>
        <tr r="I23" s="1"/>
      </tp>
      <tp>
        <v>1.1741999999999999</v>
        <stp/>
        <stp>282</stp>
        <stp>9779546</stp>
        <tr r="O19" s="1"/>
      </tp>
      <tp>
        <v>1.1380999999999999</v>
        <stp/>
        <stp>283</stp>
        <stp>9779546</stp>
        <tr r="U21" s="1"/>
      </tp>
      <tp>
        <v>1.1412500000000001</v>
        <stp/>
        <stp>280</stp>
        <stp>9779546</stp>
        <tr r="M15" s="1"/>
      </tp>
      <tp>
        <v>-2.89</v>
        <stp/>
        <stp>281</stp>
        <stp>9779546</stp>
        <tr r="N17" s="1"/>
      </tp>
      <tp>
        <v>77303.63</v>
        <stp/>
        <stp>298</stp>
        <stp>9779546</stp>
        <tr r="J39" s="1"/>
        <tr r="J39" s="1"/>
      </tp>
      <tp>
        <v>1713.09</v>
        <stp/>
        <stp>299</stp>
        <stp>9779546</stp>
        <tr r="K41" s="1"/>
      </tp>
      <tp>
        <v>6.7718999999999996</v>
        <stp/>
        <stp>296</stp>
        <stp>9779546</stp>
        <tr r="V37" s="1"/>
      </tp>
      <tp>
        <v>76835.78</v>
        <stp/>
        <stp>297</stp>
        <stp>9779546</stp>
        <tr r="J39" s="1"/>
      </tp>
      <tp>
        <v>3858.2449999999999</v>
        <stp/>
        <stp>294</stp>
        <stp>9779546</stp>
        <tr r="I37" s="1"/>
      </tp>
      <tp>
        <v>3990.2352999999998</v>
        <stp/>
        <stp>295</stp>
        <stp>9779546</stp>
        <tr r="I37" s="1"/>
        <tr r="I37" s="1"/>
      </tp>
      <tp>
        <v>5.6</v>
        <stp/>
        <stp>292</stp>
        <stp>9779546</stp>
        <tr r="O32" s="1"/>
      </tp>
      <tp>
        <v>44.880699999999997</v>
        <stp/>
        <stp>293</stp>
        <stp>9779546</stp>
        <tr r="U34" s="1"/>
      </tp>
      <tp>
        <v>2220.83</v>
        <stp/>
        <stp>290</stp>
        <stp>9779546</stp>
        <tr r="K28" s="1"/>
        <tr r="K28" s="1"/>
      </tp>
      <tp>
        <v>3.71</v>
        <stp/>
        <stp>291</stp>
        <stp>9779546</stp>
        <tr r="N3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kofcanada.sharepoint.com/sites/D_FER_CRA/mcrag/RA%20Materials/Biweekly%20Meetings/Bi-Weekly%20Templates/CRAO%20-%20Markets%20Monitoring.xlsx" TargetMode="External"/><Relationship Id="rId1" Type="http://schemas.openxmlformats.org/officeDocument/2006/relationships/externalLinkPath" Target="https://bankofcanada.sharepoint.com/sites/D_FER_CRA/mcrag/RA%20Materials/Biweekly%20Meetings/Bi-Weekly%20Templates/CRAO%20-%20Markets%20Monitor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jo\AppData\Local\Capital%20IQ\Office%20Plug-in\Templates\Fixed%20Income\Credit%20Default%20Swaps.xlsm" TargetMode="External"/><Relationship Id="rId1" Type="http://schemas.openxmlformats.org/officeDocument/2006/relationships/externalLinkPath" Target="file:///C:\Users\evjo\AppData\Local\Capital%20IQ\Office%20Plug-in\Templates\Fixed%20Income\Credit%20Default%20Swap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Log"/>
      <sheetName val="Bloomberg Codes"/>
      <sheetName val="_CIQHiddenCacheSheet"/>
      <sheetName val="Report"/>
      <sheetName val="TimeSeries_provinces_5yr"/>
      <sheetName val="TimeSeries_provinces"/>
      <sheetName val="Provinces"/>
      <sheetName val="Sovereign Indicators"/>
      <sheetName val="Bank Indicators"/>
      <sheetName val="DebtDist"/>
      <sheetName val="List"/>
    </sheetNames>
    <sheetDataSet>
      <sheetData sheetId="0" refreshError="1"/>
      <sheetData sheetId="1" refreshError="1"/>
      <sheetData sheetId="2">
        <row r="2">
          <cell r="O2" t="str">
            <v>Rating Code</v>
          </cell>
          <cell r="P2" t="str">
            <v>Equity Data</v>
          </cell>
          <cell r="Q2" t="str">
            <v>CDS 5Y</v>
          </cell>
          <cell r="R2" t="str">
            <v>CDS 1Y</v>
          </cell>
          <cell r="S2" t="str">
            <v>Corp Bond 5Y</v>
          </cell>
          <cell r="T2" t="str">
            <v>Liquidity Ratios</v>
          </cell>
          <cell r="U2" t="str">
            <v>General Debt Profile/Credit Tred</v>
          </cell>
        </row>
        <row r="3">
          <cell r="A3" t="str">
            <v>America</v>
          </cell>
          <cell r="N3" t="str">
            <v>Citigroup</v>
          </cell>
          <cell r="O3" t="str">
            <v>C US Equity</v>
          </cell>
          <cell r="P3" t="str">
            <v>C US Equity</v>
          </cell>
          <cell r="Q3" t="str">
            <v>CCGI1U5 CBIN Curncy</v>
          </cell>
          <cell r="R3" t="str">
            <v>CINC CDS USD SR 1Y D14</v>
          </cell>
          <cell r="S3" t="str">
            <v>C GB USD SR 5Y Corp</v>
          </cell>
        </row>
        <row r="4">
          <cell r="A4" t="str">
            <v>BRAZIL</v>
          </cell>
          <cell r="B4" t="str">
            <v>1323Z BZ Equity</v>
          </cell>
          <cell r="C4" t="str">
            <v>BRAZIL CDS USD SR 5Y D14 Corp</v>
          </cell>
          <cell r="D4" t="str">
            <v>GTBRL5Y Govt</v>
          </cell>
          <cell r="E4" t="str">
            <v>BCSWNPD Curncy</v>
          </cell>
          <cell r="F4" t="str">
            <v>IBOV Index</v>
          </cell>
          <cell r="G4" t="str">
            <v>USDBRL Curncy</v>
          </cell>
          <cell r="J4" t="str">
            <v>BZUETOTN Index</v>
          </cell>
          <cell r="N4" t="str">
            <v>Bank of America</v>
          </cell>
          <cell r="O4" t="str">
            <v>15581Z US Equity</v>
          </cell>
          <cell r="P4" t="str">
            <v>BAC US Equity</v>
          </cell>
          <cell r="Q4" t="str">
            <v>CBAC1U5 CBIN Curncy</v>
          </cell>
          <cell r="R4" t="str">
            <v>BOFA CDS USD SR 1Y D14</v>
          </cell>
          <cell r="S4" t="str">
            <v>BAC GB USD SR 5Y Corp</v>
          </cell>
        </row>
        <row r="5">
          <cell r="A5" t="str">
            <v>CANADA</v>
          </cell>
          <cell r="B5" t="str">
            <v>80710Z CN Equity</v>
          </cell>
          <cell r="C5" t="str">
            <v>CANPAC CDS USD SR 5Y D14 Corp</v>
          </cell>
          <cell r="D5" t="str">
            <v>GCAN5YR Index</v>
          </cell>
          <cell r="E5" t="str">
            <v>CDSW5 Curncy</v>
          </cell>
          <cell r="F5" t="str">
            <v>SPTSX Index</v>
          </cell>
          <cell r="G5" t="str">
            <v>USDCAD Curncy</v>
          </cell>
          <cell r="H5" t="str">
            <v>CACPIYOY Index</v>
          </cell>
          <cell r="I5" t="str">
            <v>CACPICHG Index</v>
          </cell>
          <cell r="J5" t="str">
            <v>CANLXEMR Index</v>
          </cell>
          <cell r="N5" t="str">
            <v>JPMorgan Chase &amp; Co</v>
          </cell>
          <cell r="O5" t="str">
            <v>8147Z US Equity</v>
          </cell>
          <cell r="P5" t="str">
            <v>JPM US Equity</v>
          </cell>
          <cell r="Q5" t="str">
            <v>CJPM1U5 CBIN Curncy</v>
          </cell>
          <cell r="R5" t="str">
            <v>JPMCC CDS USD SR 1Y D14</v>
          </cell>
          <cell r="S5" t="str">
            <v>JPM GB USD SR 5Y Corp</v>
          </cell>
        </row>
        <row r="6">
          <cell r="A6" t="str">
            <v>MEXICO</v>
          </cell>
          <cell r="B6" t="str">
            <v>1426Z MM Equity</v>
          </cell>
          <cell r="C6" t="str">
            <v>MEXICO CDS USD SR 5Y D14 Corp</v>
          </cell>
          <cell r="D6" t="str">
            <v>GMXN05YR Index</v>
          </cell>
          <cell r="E6" t="str">
            <v>MPSW5E Curncy</v>
          </cell>
          <cell r="F6" t="str">
            <v>MEXBOL Index</v>
          </cell>
          <cell r="G6" t="str">
            <v>USDMXN Curncy</v>
          </cell>
          <cell r="H6" t="str">
            <v>MXCPYOY Index</v>
          </cell>
          <cell r="I6" t="str">
            <v>MXCPCHNG Index</v>
          </cell>
          <cell r="J6" t="str">
            <v>MXUERATE Index</v>
          </cell>
          <cell r="N6" t="str">
            <v>BNP Paribas SA</v>
          </cell>
          <cell r="O6" t="str">
            <v>BNP FP Equity</v>
          </cell>
          <cell r="P6" t="str">
            <v>BNP FP Equity</v>
          </cell>
          <cell r="Q6" t="str">
            <v>CBNP1E5 CBIN Curncy</v>
          </cell>
          <cell r="R6" t="str">
            <v>BNP CDS EUR SR 1Y D14</v>
          </cell>
          <cell r="S6" t="str">
            <v>AL997029 Corp</v>
          </cell>
        </row>
        <row r="7">
          <cell r="A7" t="str">
            <v>UNITED STATES</v>
          </cell>
          <cell r="B7" t="str">
            <v>3352Z US Equity</v>
          </cell>
          <cell r="C7" t="str">
            <v>US CDS EUR SR 5Y D14 Corp</v>
          </cell>
          <cell r="D7" t="str">
            <v>USGG5YR Index</v>
          </cell>
          <cell r="E7" t="str">
            <v>USSWAP5 Curncy</v>
          </cell>
          <cell r="F7" t="str">
            <v>SPX Index</v>
          </cell>
          <cell r="H7" t="str">
            <v>CPI YOY Index</v>
          </cell>
          <cell r="I7" t="str">
            <v>CPI CHNG Index</v>
          </cell>
          <cell r="J7" t="str">
            <v>USURTOT Index</v>
          </cell>
          <cell r="N7" t="str">
            <v>Credit Agricole SA</v>
          </cell>
          <cell r="O7" t="str">
            <v>331900Z FP Equity</v>
          </cell>
          <cell r="P7" t="str">
            <v>ACA FP Equity</v>
          </cell>
          <cell r="Q7" t="str">
            <v>LCL SA CDS EUR SR 5Y D14 Corp</v>
          </cell>
          <cell r="R7" t="str">
            <v>LCL SA CDS EUR SR 1Y D14 Corp</v>
          </cell>
          <cell r="S7" t="str">
            <v>ACAFP 0.435 06/26/20 Corp</v>
          </cell>
        </row>
        <row r="8">
          <cell r="A8" t="str">
            <v>Europe</v>
          </cell>
          <cell r="N8" t="str">
            <v>Societe Generale SA</v>
          </cell>
          <cell r="O8" t="str">
            <v>GLE FP Equity</v>
          </cell>
          <cell r="P8" t="str">
            <v>GLE FP Equity</v>
          </cell>
          <cell r="Q8" t="str">
            <v>SOCGEN CDS EUR SR 5Y D14 Corp</v>
          </cell>
          <cell r="R8" t="str">
            <v>SOCGEN CDS EUR SR 1Y D14 Corp</v>
          </cell>
          <cell r="S8" t="str">
            <v>QJ659760 Corp</v>
          </cell>
        </row>
        <row r="9">
          <cell r="A9" t="str">
            <v>AUSTRIA</v>
          </cell>
          <cell r="B9" t="str">
            <v>1480Z AV Equity</v>
          </cell>
          <cell r="C9" t="str">
            <v>AUST CDS USD SR 5Y D14 Corp</v>
          </cell>
          <cell r="D9" t="str">
            <v>GAGB5YR Index</v>
          </cell>
          <cell r="E9" t="str">
            <v>EUSA5 CMPN Curncy</v>
          </cell>
          <cell r="F9" t="str">
            <v>ATX Index</v>
          </cell>
          <cell r="G9" t="str">
            <v>USDEUR Curncy</v>
          </cell>
          <cell r="H9" t="str">
            <v>ATCPYY10 Index</v>
          </cell>
          <cell r="J9" t="str">
            <v>ATUERNA Index</v>
          </cell>
          <cell r="N9" t="str">
            <v>UBS Group AG</v>
          </cell>
          <cell r="O9" t="str">
            <v>UBSN SW Equity</v>
          </cell>
          <cell r="P9" t="str">
            <v>UBSG SW Equity</v>
          </cell>
          <cell r="Q9" t="str">
            <v>UBS AG CDS EUR SR 5Y D14 Corp</v>
          </cell>
          <cell r="R9" t="str">
            <v>UBS CDS EUR SR 1Y D14 Corp</v>
          </cell>
          <cell r="S9" t="str">
            <v>UBS GB USD SR 3Y Corp</v>
          </cell>
        </row>
        <row r="10">
          <cell r="A10" t="str">
            <v>BELGIUM</v>
          </cell>
          <cell r="B10" t="str">
            <v>111136Z BB Equity</v>
          </cell>
          <cell r="C10" t="str">
            <v>BELG CDS USD SR 5Y D14 Corp</v>
          </cell>
          <cell r="D10" t="str">
            <v>GBGB5YR Index</v>
          </cell>
          <cell r="E10" t="str">
            <v>EUSA5 CMPN Curncy</v>
          </cell>
          <cell r="F10" t="str">
            <v>BEL20 Index</v>
          </cell>
          <cell r="G10" t="str">
            <v>USDEUR Curncy</v>
          </cell>
          <cell r="H10" t="str">
            <v>BECPYOY Index</v>
          </cell>
          <cell r="I10" t="str">
            <v>BECPCHNG Index</v>
          </cell>
          <cell r="J10" t="str">
            <v>BEUER Index</v>
          </cell>
          <cell r="N10" t="str">
            <v>HSBC Holdings PLC</v>
          </cell>
          <cell r="O10" t="str">
            <v>521903Z US Equity</v>
          </cell>
          <cell r="P10" t="str">
            <v>HSBA LN Equity</v>
          </cell>
          <cell r="Q10" t="str">
            <v>HSBCHD CDS GBP SR 5Y D14</v>
          </cell>
          <cell r="R10" t="str">
            <v>HSBCHD CDS GBP SR 1Y D14</v>
          </cell>
          <cell r="S10" t="str">
            <v>HSBC GB USD SR 5Y Corp</v>
          </cell>
        </row>
        <row r="11">
          <cell r="A11" t="str">
            <v>BRITAIN</v>
          </cell>
          <cell r="B11" t="str">
            <v>6152Z LN Equity</v>
          </cell>
          <cell r="C11" t="str">
            <v>UK CDS USD SR 5Y D14 Corp</v>
          </cell>
          <cell r="D11" t="str">
            <v>GUKG5 Index</v>
          </cell>
          <cell r="E11" t="str">
            <v>BPSW5 Curncy</v>
          </cell>
          <cell r="F11" t="str">
            <v>UKX Index</v>
          </cell>
          <cell r="G11" t="str">
            <v>USDGBP Curncy</v>
          </cell>
          <cell r="H11" t="str">
            <v>UKRPYOY Index</v>
          </cell>
          <cell r="I11" t="str">
            <v>UKRPMOM Index</v>
          </cell>
          <cell r="J11" t="str">
            <v>UKUEILOR Index</v>
          </cell>
          <cell r="N11" t="str">
            <v>Credit Suisse Group AG</v>
          </cell>
          <cell r="O11" t="str">
            <v>1236172D LN Equity</v>
          </cell>
          <cell r="P11" t="str">
            <v>CSGN SW Equity</v>
          </cell>
          <cell r="Q11" t="str">
            <v>CRDSUI CDS EUR SR 5Y D14 Corp</v>
          </cell>
          <cell r="R11" t="str">
            <v>CRDSUI CDS EUR SR 1Y D14 Corp</v>
          </cell>
          <cell r="S11" t="str">
            <v>CS GB USD SR 5Y Corp</v>
          </cell>
        </row>
        <row r="12">
          <cell r="A12" t="str">
            <v>CZECH REPUBLIC</v>
          </cell>
          <cell r="B12" t="str">
            <v>1040Z CP Equity</v>
          </cell>
          <cell r="C12" t="str">
            <v>CZECH CDS USD SR 5Y D14 Corp</v>
          </cell>
          <cell r="D12" t="str">
            <v>CZGB5YR Index</v>
          </cell>
          <cell r="E12" t="str">
            <v>CKSW5 Curncy</v>
          </cell>
          <cell r="F12" t="str">
            <v>PX Index</v>
          </cell>
          <cell r="G12" t="str">
            <v>USDCZK Curncy</v>
          </cell>
          <cell r="H12" t="str">
            <v>CZCPYOY Index</v>
          </cell>
          <cell r="I12" t="str">
            <v>CZCPMOM Index</v>
          </cell>
          <cell r="J12" t="str">
            <v>CZJLUNR Index</v>
          </cell>
          <cell r="N12" t="str">
            <v>RBS Group PLC</v>
          </cell>
          <cell r="O12" t="str">
            <v>RBS LN Equity</v>
          </cell>
          <cell r="P12" t="str">
            <v>RBS LN Equity</v>
          </cell>
          <cell r="Q12" t="str">
            <v>CRBS1E5 CBIN Curncy</v>
          </cell>
          <cell r="R12" t="str">
            <v>RPSPLC CDS EUR SR 1Y D14 Corp</v>
          </cell>
          <cell r="S12" t="str">
            <v>EI189405 Corp</v>
          </cell>
        </row>
        <row r="13">
          <cell r="A13" t="str">
            <v>DENMARK</v>
          </cell>
          <cell r="B13" t="str">
            <v>1271Z DC Equity</v>
          </cell>
          <cell r="C13" t="str">
            <v>DENK CDS USD SR 5Y D14 Corp</v>
          </cell>
          <cell r="D13" t="str">
            <v>GDGB5YR  Index</v>
          </cell>
          <cell r="E13" t="str">
            <v>DKSW5 Curncy</v>
          </cell>
          <cell r="F13" t="str">
            <v>KFX Index</v>
          </cell>
          <cell r="G13" t="str">
            <v>USDDKK Curncy</v>
          </cell>
          <cell r="H13" t="str">
            <v>DNCPIYOY Index</v>
          </cell>
          <cell r="I13" t="str">
            <v>DNCPIMOM Index</v>
          </cell>
          <cell r="J13" t="str">
            <v>DEUEGRAT Index</v>
          </cell>
          <cell r="N13" t="str">
            <v>Bank of Nova Scotia</v>
          </cell>
          <cell r="O13" t="str">
            <v>BNS CN Equity</v>
          </cell>
          <cell r="P13" t="str">
            <v>BNS CN Equity</v>
          </cell>
          <cell r="Q13" t="str">
            <v>BNS CDS USD SR 5Y D14 Corp</v>
          </cell>
          <cell r="R13" t="str">
            <v>BNS CDS USD SR 1Y D14 Corp</v>
          </cell>
          <cell r="S13" t="str">
            <v>BNS GB USD SR 5Y Corp</v>
          </cell>
        </row>
        <row r="14">
          <cell r="A14" t="str">
            <v>FINLAND</v>
          </cell>
          <cell r="B14" t="str">
            <v>1306Z FH Equity</v>
          </cell>
          <cell r="C14" t="str">
            <v>FINL CDS USD SR 5Y D14 Corp</v>
          </cell>
          <cell r="D14" t="str">
            <v>GFIN5YR Index</v>
          </cell>
          <cell r="E14" t="str">
            <v>EUSA5 CMPN Curncy</v>
          </cell>
          <cell r="F14" t="str">
            <v>HEX Index</v>
          </cell>
          <cell r="G14" t="str">
            <v>USDEUR Curncy</v>
          </cell>
          <cell r="H14" t="str">
            <v>FICP2YOY Index</v>
          </cell>
          <cell r="I14" t="str">
            <v>FICP2MOM Index</v>
          </cell>
          <cell r="J14" t="str">
            <v>FIUER Index</v>
          </cell>
          <cell r="N14" t="str">
            <v>BMO</v>
          </cell>
          <cell r="O14" t="str">
            <v>BMO CN Equity</v>
          </cell>
          <cell r="P14" t="str">
            <v>BMO CN Equity</v>
          </cell>
          <cell r="Q14" t="str">
            <v>BMO CDS USD SR 5Y D14 Corp</v>
          </cell>
          <cell r="R14" t="str">
            <v>BMO CDS USD SR 1Y D14 Corp</v>
          </cell>
          <cell r="S14" t="str">
            <v>QJ076587 Corp</v>
          </cell>
        </row>
        <row r="15">
          <cell r="A15" t="str">
            <v>FRANCE</v>
          </cell>
          <cell r="B15" t="str">
            <v>223727Z FP Equity</v>
          </cell>
          <cell r="C15" t="str">
            <v>FRANCE CDS USD SR 5Y D14 Corp</v>
          </cell>
          <cell r="D15" t="str">
            <v>GFRN5 Index</v>
          </cell>
          <cell r="E15" t="str">
            <v>EUSA5 CMPN Curncy</v>
          </cell>
          <cell r="F15" t="str">
            <v>CAC Index</v>
          </cell>
          <cell r="G15" t="str">
            <v>USDEUR Curncy</v>
          </cell>
          <cell r="H15" t="str">
            <v>FRCPISYY Index</v>
          </cell>
          <cell r="I15" t="str">
            <v>FRCPISMM Index</v>
          </cell>
          <cell r="J15" t="str">
            <v>FRUEREU Index</v>
          </cell>
          <cell r="N15" t="str">
            <v>CIBC</v>
          </cell>
          <cell r="O15" t="str">
            <v>CM CN Equity</v>
          </cell>
          <cell r="P15" t="str">
            <v>CM CN Equity</v>
          </cell>
          <cell r="S15" t="str">
            <v>CM 1.85 07/14/20 Corp</v>
          </cell>
        </row>
        <row r="16">
          <cell r="A16" t="str">
            <v>GERMANY</v>
          </cell>
          <cell r="B16" t="str">
            <v>3413Z GR Equity</v>
          </cell>
          <cell r="C16" t="str">
            <v>GERMAN CDS USD SR 5Y D14 Corp</v>
          </cell>
          <cell r="D16" t="str">
            <v>GDBR5 Index</v>
          </cell>
          <cell r="E16" t="str">
            <v>EUSA5 CMPN Curncy</v>
          </cell>
          <cell r="F16" t="str">
            <v>DAX Index</v>
          </cell>
          <cell r="G16" t="str">
            <v>USDEUR Curncy</v>
          </cell>
          <cell r="H16" t="str">
            <v>GRCP20YY Index</v>
          </cell>
          <cell r="I16" t="str">
            <v>GRCP20MM Index</v>
          </cell>
          <cell r="J16" t="str">
            <v>GRUEPR Index</v>
          </cell>
          <cell r="N16" t="str">
            <v>TD</v>
          </cell>
          <cell r="O16" t="str">
            <v>TD US Equity</v>
          </cell>
          <cell r="P16" t="str">
            <v>TD CN Equity</v>
          </cell>
          <cell r="Q16" t="str">
            <v>TD CDS USD SR 5Y D14 Corp</v>
          </cell>
          <cell r="R16" t="str">
            <v>TD CDS USD SR 1Y D14 Corp</v>
          </cell>
          <cell r="S16" t="str">
            <v>TD 2.621 12/22/21 Corp</v>
          </cell>
        </row>
        <row r="17">
          <cell r="A17" t="str">
            <v>GREECE</v>
          </cell>
          <cell r="B17" t="str">
            <v>1004Z GA Equity</v>
          </cell>
          <cell r="C17" t="str">
            <v>GREECE CDS USD SR 5Y D14 Corp</v>
          </cell>
          <cell r="D17" t="str">
            <v>GGGB5YR Index</v>
          </cell>
          <cell r="E17" t="str">
            <v>EUSA5 CMPN Curncy</v>
          </cell>
          <cell r="F17" t="str">
            <v>ASE Index</v>
          </cell>
          <cell r="G17" t="str">
            <v>USDEUR Curncy</v>
          </cell>
          <cell r="H17" t="str">
            <v>GKCPNEWY Index</v>
          </cell>
          <cell r="I17" t="str">
            <v>GKCPNEWM Index</v>
          </cell>
          <cell r="J17" t="str">
            <v>GKUERATE Index</v>
          </cell>
          <cell r="N17" t="str">
            <v>RBC</v>
          </cell>
          <cell r="O17" t="str">
            <v>RY CN Equity</v>
          </cell>
          <cell r="P17" t="str">
            <v>RY CN Equity</v>
          </cell>
          <cell r="S17" t="str">
            <v>RY GB USD SR 5Y Corp</v>
          </cell>
        </row>
        <row r="18">
          <cell r="A18" t="str">
            <v>IRELAND</v>
          </cell>
          <cell r="B18" t="str">
            <v>1266Z ID Equity</v>
          </cell>
          <cell r="C18" t="str">
            <v>IRELND CDS USD SR 5Y D14 Corp</v>
          </cell>
          <cell r="D18" t="str">
            <v>GTIEP5YR  Corp</v>
          </cell>
          <cell r="E18" t="str">
            <v>EUSA5 CMPN Curncy</v>
          </cell>
          <cell r="F18" t="str">
            <v>ISEQ Index</v>
          </cell>
          <cell r="G18" t="str">
            <v>USDEUR Curncy</v>
          </cell>
          <cell r="H18" t="str">
            <v>IECPIYOY Index</v>
          </cell>
          <cell r="I18" t="str">
            <v>IECPIMOM Index</v>
          </cell>
          <cell r="J18" t="str">
            <v>IEUERT Index</v>
          </cell>
          <cell r="N18" t="str">
            <v>Nationale</v>
          </cell>
          <cell r="O18" t="str">
            <v>NA CN Equity</v>
          </cell>
          <cell r="P18" t="str">
            <v>NA CN Equity</v>
          </cell>
          <cell r="S18" t="str">
            <v>EK777641 Corp</v>
          </cell>
        </row>
        <row r="19">
          <cell r="A19" t="str">
            <v>ITALY</v>
          </cell>
          <cell r="B19" t="str">
            <v>2103Z IM Equity</v>
          </cell>
          <cell r="C19" t="str">
            <v>ITALY CDS USD SR 5Y D14 Corp</v>
          </cell>
          <cell r="D19" t="str">
            <v>GBTPGR5 Index</v>
          </cell>
          <cell r="E19" t="str">
            <v>EUSA5 CMPN Curncy</v>
          </cell>
          <cell r="F19" t="str">
            <v>FTSEMIB Index</v>
          </cell>
          <cell r="G19" t="str">
            <v>USDEUR Curncy</v>
          </cell>
          <cell r="H19" t="str">
            <v>ITCPNICY Index</v>
          </cell>
          <cell r="I19" t="str">
            <v>ITCPNICM Index</v>
          </cell>
          <cell r="J19" t="str">
            <v>ITMUURS Index</v>
          </cell>
          <cell r="N19" t="str">
            <v>Deutche Bank AG</v>
          </cell>
          <cell r="O19" t="str">
            <v>DBK GR Equity</v>
          </cell>
          <cell r="P19" t="str">
            <v>DBK GR Equity</v>
          </cell>
          <cell r="Q19" t="str">
            <v>CDB1E5 CBIN Curncy</v>
          </cell>
          <cell r="R19" t="str">
            <v>DB CDS EUR SR 1Y D14</v>
          </cell>
          <cell r="S19" t="str">
            <v>LW0631934 Corp</v>
          </cell>
        </row>
        <row r="20">
          <cell r="A20" t="str">
            <v>LUXEMBOURG</v>
          </cell>
          <cell r="B20" t="str">
            <v>1110Z LX Equity</v>
          </cell>
          <cell r="C20" t="str">
            <v>LUXEMBOURG CDS USD SR 5Y D14 Corp</v>
          </cell>
          <cell r="D20" t="str">
            <v>EI2501308 Corp</v>
          </cell>
          <cell r="E20" t="str">
            <v>EUSA5 CMPN Curncy</v>
          </cell>
          <cell r="F20" t="str">
            <v>LUXXX Index</v>
          </cell>
          <cell r="G20" t="str">
            <v>USDEUR Curncy</v>
          </cell>
          <cell r="H20" t="str">
            <v>LXCPIYOY Index</v>
          </cell>
          <cell r="J20" t="str">
            <v>LXUERS Index</v>
          </cell>
          <cell r="N20" t="str">
            <v>Barclays Bank PLC</v>
          </cell>
          <cell r="P20" t="str">
            <v>BARC LN Equity</v>
          </cell>
          <cell r="Q20" t="str">
            <v>CBAR1E5 CBIN Curncy</v>
          </cell>
          <cell r="R20" t="str">
            <v>CBAR1E1 CBIN Curncy</v>
          </cell>
          <cell r="S20" t="str">
            <v>BACR GB USD SR 5Y Corp</v>
          </cell>
        </row>
        <row r="21">
          <cell r="A21" t="str">
            <v>NETHERLANDS</v>
          </cell>
          <cell r="B21" t="str">
            <v>1533Z NA Equity</v>
          </cell>
          <cell r="C21" t="str">
            <v>NETHER CDS USD SR 5Y D14 Corp</v>
          </cell>
          <cell r="D21" t="str">
            <v>GNTH5YR Index</v>
          </cell>
          <cell r="E21" t="str">
            <v>EUSA5 CMPN Curncy</v>
          </cell>
          <cell r="F21" t="str">
            <v>AEX Index</v>
          </cell>
          <cell r="G21" t="str">
            <v>USDEUR Curncy</v>
          </cell>
          <cell r="H21" t="str">
            <v>NECPIYOY Index</v>
          </cell>
          <cell r="I21" t="str">
            <v>NECPIMOM Index</v>
          </cell>
          <cell r="J21" t="str">
            <v>NEUETOTR Index</v>
          </cell>
          <cell r="N21" t="str">
            <v>Goldman Sachs Group</v>
          </cell>
          <cell r="P21" t="str">
            <v>GS US Equity</v>
          </cell>
          <cell r="Q21" t="str">
            <v>CGS1U5 CBIN Curncy</v>
          </cell>
          <cell r="R21" t="str">
            <v>CGS1U1 CBIN Curncy</v>
          </cell>
          <cell r="S21" t="str">
            <v>GS GB USD SR 5Y Corp</v>
          </cell>
        </row>
        <row r="22">
          <cell r="A22" t="str">
            <v>NORWAY</v>
          </cell>
          <cell r="B22" t="str">
            <v>1233Z NO Equity</v>
          </cell>
          <cell r="C22" t="str">
            <v>NORWAY CDS USD SR 5Y D14 Corp</v>
          </cell>
          <cell r="D22" t="str">
            <v>EI2488605 Corp</v>
          </cell>
          <cell r="E22" t="str">
            <v>NKSW5 Curncy</v>
          </cell>
          <cell r="F22" t="str">
            <v>OSEAX Index</v>
          </cell>
          <cell r="G22" t="str">
            <v>USDNOK Curncy</v>
          </cell>
          <cell r="H22" t="str">
            <v>NOCPIYOY Index</v>
          </cell>
          <cell r="I22" t="str">
            <v>NOCPIMOM Index</v>
          </cell>
          <cell r="J22" t="str">
            <v>NOLBRATE Index</v>
          </cell>
          <cell r="N22" t="str">
            <v>Morgan Stanley</v>
          </cell>
          <cell r="P22" t="str">
            <v>MS US Equity</v>
          </cell>
          <cell r="Q22" t="str">
            <v>CMWD1U5 CBIN Curncy</v>
          </cell>
          <cell r="R22" t="str">
            <v>MS CDS USD SR 1Y D14</v>
          </cell>
          <cell r="S22" t="str">
            <v>MS GB USD SR 5Y Corp</v>
          </cell>
        </row>
        <row r="23">
          <cell r="A23" t="str">
            <v>POLAND</v>
          </cell>
          <cell r="B23" t="str">
            <v>1084Z PW Equity</v>
          </cell>
          <cell r="C23" t="str">
            <v>POLAND CDS USD SR 5Y D14 Corp</v>
          </cell>
          <cell r="D23" t="str">
            <v>POGB5YR Index</v>
          </cell>
          <cell r="E23" t="str">
            <v>PZSW5 Curncy</v>
          </cell>
          <cell r="F23" t="str">
            <v>WIG Index</v>
          </cell>
          <cell r="G23" t="str">
            <v>USDPLN Curncy</v>
          </cell>
          <cell r="H23" t="str">
            <v>POCPIYOY Index</v>
          </cell>
          <cell r="I23" t="str">
            <v>POCPIMOM Index</v>
          </cell>
          <cell r="J23" t="str">
            <v>POUER Index</v>
          </cell>
          <cell r="N23" t="str">
            <v>State Street Bank &amp; Trust</v>
          </cell>
          <cell r="P23" t="str">
            <v>STT US Equity</v>
          </cell>
          <cell r="Q23" t="str">
            <v>STT CDS USD SR 5Y D14</v>
          </cell>
          <cell r="R23" t="str">
            <v>STT CDS USD SR 1Y D14</v>
          </cell>
          <cell r="S23" t="str">
            <v>STT GB USD SR 5Y Corp</v>
          </cell>
        </row>
        <row r="24">
          <cell r="A24" t="str">
            <v>PORTUGAL</v>
          </cell>
          <cell r="B24" t="str">
            <v>1174Z PL Equity</v>
          </cell>
          <cell r="C24" t="str">
            <v>PORTUG CDS USD SR 5Y D14 Corp</v>
          </cell>
          <cell r="D24" t="str">
            <v>GSPT5YR Index</v>
          </cell>
          <cell r="E24" t="str">
            <v>EUSA5 CMPN Curncy</v>
          </cell>
          <cell r="F24" t="str">
            <v>PSI20 Index</v>
          </cell>
          <cell r="G24" t="str">
            <v>USDEUR Curncy</v>
          </cell>
          <cell r="H24" t="str">
            <v>PLCPYOY Index</v>
          </cell>
          <cell r="I24" t="str">
            <v>PLCPMOM Index</v>
          </cell>
          <cell r="J24" t="str">
            <v>PTUE Index</v>
          </cell>
        </row>
        <row r="25">
          <cell r="A25" t="str">
            <v>SLOVENIA</v>
          </cell>
          <cell r="B25" t="str">
            <v>1091Z SV Equity</v>
          </cell>
          <cell r="C25" t="str">
            <v>SLOVEN CDS USD SR 5Y D14 Corp</v>
          </cell>
          <cell r="D25" t="str">
            <v>EI1152335 Corp</v>
          </cell>
          <cell r="E25" t="str">
            <v>EUSA5 CMPN Curncy</v>
          </cell>
          <cell r="F25" t="str">
            <v>SBITOP Index</v>
          </cell>
          <cell r="G25" t="str">
            <v>USDEUR Curncy</v>
          </cell>
          <cell r="H25" t="str">
            <v>SVCPYOY Index</v>
          </cell>
          <cell r="I25" t="str">
            <v>SVCPMOM Index</v>
          </cell>
          <cell r="J25" t="str">
            <v>SVUER Index</v>
          </cell>
        </row>
        <row r="26">
          <cell r="A26" t="str">
            <v>SPAIN</v>
          </cell>
          <cell r="B26" t="str">
            <v>1841Z SM Equity</v>
          </cell>
          <cell r="C26" t="str">
            <v>SPAIN CDS USD SR 5Y D14 Corp</v>
          </cell>
          <cell r="D26" t="str">
            <v>GSPG5YR Index</v>
          </cell>
          <cell r="E26" t="str">
            <v>EUSA5 CMPN Curncy</v>
          </cell>
          <cell r="F26" t="str">
            <v>IBEX Index</v>
          </cell>
          <cell r="G26" t="str">
            <v>USDEUR Curncy</v>
          </cell>
          <cell r="H26" t="str">
            <v>SPIPCYOY Index</v>
          </cell>
          <cell r="I26" t="str">
            <v>SPIPCMOM Index</v>
          </cell>
          <cell r="J26" t="str">
            <v>SPUNEMPR Index</v>
          </cell>
        </row>
        <row r="27">
          <cell r="A27" t="str">
            <v>SWEDEN</v>
          </cell>
          <cell r="B27" t="str">
            <v>1179Z SS Equity</v>
          </cell>
          <cell r="C27" t="str">
            <v>SWED CDS USD SR 5Y D14 Corp</v>
          </cell>
          <cell r="D27" t="str">
            <v>GSGB5YR Index</v>
          </cell>
          <cell r="E27" t="str">
            <v>SKSW5 Curncy</v>
          </cell>
          <cell r="F27" t="str">
            <v>OMX Index</v>
          </cell>
          <cell r="G27" t="str">
            <v>USDSEK Index</v>
          </cell>
          <cell r="H27" t="str">
            <v>SWCPYOY Index</v>
          </cell>
          <cell r="I27" t="str">
            <v>SWCPMOM Index</v>
          </cell>
          <cell r="J27" t="str">
            <v>SWUERATE Index</v>
          </cell>
        </row>
        <row r="28">
          <cell r="A28" t="str">
            <v>SWITZERLAND</v>
          </cell>
          <cell r="B28" t="str">
            <v>344758Z SW Equity</v>
          </cell>
          <cell r="C28" t="str">
            <v>SWISS CDS USD SR 5Y D14 Corp</v>
          </cell>
          <cell r="D28" t="str">
            <v>GSWISS05 Index</v>
          </cell>
          <cell r="E28" t="str">
            <v>SFSW5 Curncy</v>
          </cell>
          <cell r="F28" t="str">
            <v>SMI Index</v>
          </cell>
          <cell r="G28" t="str">
            <v>USDCHF Curncy</v>
          </cell>
          <cell r="H28" t="str">
            <v>SZCPIYOY Index</v>
          </cell>
          <cell r="I28" t="str">
            <v>SZCPIMOM Index</v>
          </cell>
          <cell r="J28" t="str">
            <v>SZUEUEA Index</v>
          </cell>
        </row>
        <row r="29">
          <cell r="A29" t="str">
            <v>UKRAINE</v>
          </cell>
          <cell r="B29" t="str">
            <v>1089Z UZ Equity</v>
          </cell>
          <cell r="C29" t="str">
            <v>CUKR1U5 CBBT Curncy</v>
          </cell>
          <cell r="D29" t="str">
            <v>GTUAH5YR  Corp</v>
          </cell>
          <cell r="E29" t="str">
            <v>UKSW5 Curncy</v>
          </cell>
          <cell r="F29" t="str">
            <v>PFTS Index</v>
          </cell>
          <cell r="G29" t="str">
            <v>USDUAH Curncy</v>
          </cell>
          <cell r="H29" t="str">
            <v>UACPTYOY Index</v>
          </cell>
          <cell r="J29" t="str">
            <v>UAUEILO Index</v>
          </cell>
        </row>
        <row r="30">
          <cell r="A30" t="str">
            <v>Asia/Pacific</v>
          </cell>
        </row>
        <row r="31">
          <cell r="A31" t="str">
            <v>AUSTRALIA</v>
          </cell>
          <cell r="B31" t="str">
            <v>1525Z AU Equity</v>
          </cell>
          <cell r="C31" t="str">
            <v>AUSTLA CDS USD SR 5Y D14 Corp</v>
          </cell>
          <cell r="D31" t="str">
            <v>GACGB5 Index</v>
          </cell>
          <cell r="E31" t="str">
            <v>ADSWAP5 Curncy</v>
          </cell>
          <cell r="F31" t="str">
            <v>AS51 Index</v>
          </cell>
          <cell r="G31" t="str">
            <v>USDAUD Curncy</v>
          </cell>
          <cell r="H31" t="str">
            <v>AUCPIYOY Index</v>
          </cell>
          <cell r="I31" t="str">
            <v>AUCPICHG Index</v>
          </cell>
          <cell r="J31" t="str">
            <v>AULFUNEM Index</v>
          </cell>
        </row>
        <row r="32">
          <cell r="A32" t="str">
            <v>CHINA</v>
          </cell>
          <cell r="B32" t="str">
            <v>PRCH CH Equity</v>
          </cell>
          <cell r="C32" t="str">
            <v>CHINAGOV CDS USD SR 5Y D14 Corp</v>
          </cell>
          <cell r="D32" t="str">
            <v>GCNY5YR Index</v>
          </cell>
          <cell r="E32" t="str">
            <v>CCSWN5 Curncy</v>
          </cell>
          <cell r="F32" t="str">
            <v>SHCOMP Index</v>
          </cell>
          <cell r="G32" t="str">
            <v>USDCNY Index</v>
          </cell>
          <cell r="H32" t="str">
            <v>CNCPIYOY Index</v>
          </cell>
          <cell r="J32" t="str">
            <v>CNUERATE Index</v>
          </cell>
        </row>
        <row r="33">
          <cell r="A33" t="str">
            <v>HONG KONG</v>
          </cell>
          <cell r="B33" t="str">
            <v>3343935Z HK Equity</v>
          </cell>
          <cell r="C33" t="str">
            <v>HONGK CDS USD SR 5Y D14 Corp</v>
          </cell>
          <cell r="D33" t="str">
            <v>EI4809337 Corp</v>
          </cell>
          <cell r="E33" t="str">
            <v>HDSW5 Curncy</v>
          </cell>
          <cell r="F33" t="str">
            <v>HSI Index</v>
          </cell>
          <cell r="G33" t="str">
            <v>USDHKD Curncy</v>
          </cell>
          <cell r="H33" t="str">
            <v>HKCPIY Index</v>
          </cell>
          <cell r="I33" t="str">
            <v>HKCPIM Index</v>
          </cell>
          <cell r="J33" t="str">
            <v>HKUERATE Index</v>
          </cell>
        </row>
        <row r="34">
          <cell r="A34" t="str">
            <v>INDIA</v>
          </cell>
          <cell r="B34" t="str">
            <v>1504Z IN Equity</v>
          </cell>
          <cell r="C34" t="str">
            <v>INDIA CDS USD SR 5Y D14 Corp</v>
          </cell>
          <cell r="D34" t="str">
            <v>GIND5YR Index</v>
          </cell>
          <cell r="E34" t="str">
            <v>IRSWO5 Curncy</v>
          </cell>
          <cell r="F34" t="str">
            <v>SENSEX Index</v>
          </cell>
          <cell r="G34" t="str">
            <v>USDINR Curncy</v>
          </cell>
          <cell r="H34" t="str">
            <v>INFUTOTY Index</v>
          </cell>
          <cell r="J34" t="str">
            <v>INUNCIA Index</v>
          </cell>
        </row>
        <row r="35">
          <cell r="A35" t="str">
            <v>JAPAN</v>
          </cell>
          <cell r="B35" t="str">
            <v>JAPZ JP Equity</v>
          </cell>
          <cell r="C35" t="str">
            <v>JAPAN CDS USD SR 5Y D14 Corp</v>
          </cell>
          <cell r="D35" t="str">
            <v>GJGB5 Index</v>
          </cell>
          <cell r="E35" t="str">
            <v>JYSWAP5 Curncy</v>
          </cell>
          <cell r="F35" t="str">
            <v>TPX Index</v>
          </cell>
          <cell r="G35" t="str">
            <v>USDJPY BGN Curncy</v>
          </cell>
          <cell r="H35" t="str">
            <v>JNCPIYOY Index</v>
          </cell>
          <cell r="J35" t="str">
            <v>JNUE Index</v>
          </cell>
        </row>
        <row r="36">
          <cell r="A36" t="str">
            <v>MALAYSIA</v>
          </cell>
          <cell r="B36" t="str">
            <v>1124Z MK Equity</v>
          </cell>
          <cell r="C36" t="str">
            <v>MALAYS CDS USD SR 5Y D14 Corp</v>
          </cell>
          <cell r="D36" t="str">
            <v>MGIY5Y Index</v>
          </cell>
          <cell r="E36" t="str">
            <v>MRSWQO5 Curncy</v>
          </cell>
          <cell r="F36" t="str">
            <v>FBMKLCI Index</v>
          </cell>
          <cell r="G36" t="str">
            <v>USDMYR Curncy</v>
          </cell>
          <cell r="H36" t="str">
            <v>MACPIYOY Index</v>
          </cell>
          <cell r="I36" t="str">
            <v>MACPIMOM Index</v>
          </cell>
          <cell r="J36" t="str">
            <v>MAEPRATE Index</v>
          </cell>
        </row>
        <row r="37">
          <cell r="A37" t="str">
            <v>NEW ZEALAND</v>
          </cell>
          <cell r="B37" t="str">
            <v>46443Z NZ Equity</v>
          </cell>
          <cell r="C37" t="str">
            <v>NZ CDS USD SR 5Y D14 Corp</v>
          </cell>
          <cell r="D37" t="str">
            <v>GNZGB5 Index</v>
          </cell>
          <cell r="E37" t="str">
            <v>NDSWAP5 Curncy</v>
          </cell>
          <cell r="F37" t="str">
            <v>NZSE50FG Index</v>
          </cell>
          <cell r="G37" t="str">
            <v>USDNZD Curncy</v>
          </cell>
          <cell r="H37" t="str">
            <v>NZCPIYOY Index</v>
          </cell>
          <cell r="I37" t="str">
            <v>NZCPICHG Index</v>
          </cell>
          <cell r="J37" t="str">
            <v>NZLFUNER Index</v>
          </cell>
        </row>
        <row r="38">
          <cell r="A38" t="str">
            <v>RUSSIA</v>
          </cell>
          <cell r="B38" t="str">
            <v>4458Z RU Equity</v>
          </cell>
          <cell r="C38" t="str">
            <v>RUSSIA CDS USD SR 5Y D14 Corp</v>
          </cell>
          <cell r="D38" t="str">
            <v>GTRUB5YR  Corp</v>
          </cell>
          <cell r="F38" t="str">
            <v>INDEXCF Index</v>
          </cell>
          <cell r="G38" t="str">
            <v>USDRUB Curncy</v>
          </cell>
          <cell r="H38" t="str">
            <v>RUCPIYOY Index</v>
          </cell>
          <cell r="I38" t="str">
            <v>RUCPIMOM Index</v>
          </cell>
          <cell r="J38" t="str">
            <v>RUUER Index</v>
          </cell>
        </row>
        <row r="39">
          <cell r="A39" t="str">
            <v>SINGAPORE</v>
          </cell>
          <cell r="B39" t="str">
            <v>1545Z SP Equity</v>
          </cell>
          <cell r="C39" t="str">
            <v>SINGAP CDS USD SR 5Y D14 Corp</v>
          </cell>
          <cell r="D39" t="str">
            <v>MASB5Y Index</v>
          </cell>
          <cell r="E39" t="str">
            <v>SDSW5 Curncy</v>
          </cell>
          <cell r="F39" t="str">
            <v>FSSTI Index</v>
          </cell>
          <cell r="G39" t="str">
            <v>USDSGD Curncy</v>
          </cell>
          <cell r="H39" t="str">
            <v>SICPIYOY Index</v>
          </cell>
          <cell r="I39" t="str">
            <v>SICPIMOM Index</v>
          </cell>
          <cell r="J39" t="str">
            <v>SIQUTOTA Index</v>
          </cell>
        </row>
        <row r="40">
          <cell r="A40" t="str">
            <v>SOUTH KOREA</v>
          </cell>
          <cell r="B40" t="str">
            <v>ROKZ KS Equity</v>
          </cell>
          <cell r="C40" t="str">
            <v>KOREA CDS USD SR 5Y D14 Corp</v>
          </cell>
          <cell r="D40" t="str">
            <v>GVSK5YR Index</v>
          </cell>
          <cell r="E40" t="str">
            <v>KWSWO5 Curncy</v>
          </cell>
          <cell r="F40" t="str">
            <v>KOSPI Index</v>
          </cell>
          <cell r="G40" t="str">
            <v>USDKRW Curncy</v>
          </cell>
          <cell r="H40" t="str">
            <v>KOCPIYOY Index</v>
          </cell>
          <cell r="I40" t="str">
            <v>KOCPIMOM Index</v>
          </cell>
          <cell r="J40" t="str">
            <v>KOEAUERS Index</v>
          </cell>
        </row>
        <row r="41">
          <cell r="A41" t="str">
            <v>TAIWAN</v>
          </cell>
          <cell r="B41" t="str">
            <v>116657Z TT Equity</v>
          </cell>
          <cell r="D41" t="str">
            <v>GVTW5YR Index</v>
          </cell>
          <cell r="E41" t="str">
            <v>NTSWO5 Curncy</v>
          </cell>
          <cell r="F41" t="str">
            <v>TWSE Index</v>
          </cell>
          <cell r="G41" t="str">
            <v>USDTWD Curncy</v>
          </cell>
          <cell r="H41" t="str">
            <v>TWCPIYOY Index</v>
          </cell>
          <cell r="I41" t="str">
            <v>TWCPII Index</v>
          </cell>
          <cell r="J41" t="str">
            <v>TWLFADJ Index</v>
          </cell>
        </row>
        <row r="42">
          <cell r="A42" t="str">
            <v>THAILAND</v>
          </cell>
          <cell r="B42" t="str">
            <v>1179Z TB Equity</v>
          </cell>
          <cell r="C42" t="str">
            <v>THAI CDS USD SR 5Y D14 Corp</v>
          </cell>
          <cell r="D42" t="str">
            <v>GVTL5YR Index</v>
          </cell>
          <cell r="E42" t="str">
            <v>TBSWO5 Curncy</v>
          </cell>
          <cell r="F42" t="str">
            <v>SET Index</v>
          </cell>
          <cell r="G42" t="str">
            <v>USDTHB Curncy</v>
          </cell>
          <cell r="H42" t="str">
            <v>THCPIYOY Index</v>
          </cell>
          <cell r="I42" t="str">
            <v>THCPIMOM Index</v>
          </cell>
          <cell r="J42" t="str">
            <v>THLMUERT Index</v>
          </cell>
        </row>
        <row r="43">
          <cell r="A43" t="str">
            <v>South Africa</v>
          </cell>
          <cell r="B43" t="str">
            <v>50184Z SJ Equity</v>
          </cell>
          <cell r="C43" t="str">
            <v>REPSOU CDS USD SR 5Y D14 Corp</v>
          </cell>
          <cell r="D43" t="str">
            <v>GTZAR5Y Govt</v>
          </cell>
          <cell r="E43" t="str">
            <v>SASW5 Curncy</v>
          </cell>
          <cell r="F43" t="str">
            <v>TOP40 Index</v>
          </cell>
          <cell r="G43" t="str">
            <v>USDZAR Curncy</v>
          </cell>
          <cell r="H43" t="str">
            <v>SCP8EPNY Index</v>
          </cell>
          <cell r="I43" t="str">
            <v>SCP8014M Index</v>
          </cell>
          <cell r="J43" t="str">
            <v>SAUERATQ Index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C1">
            <v>46218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s"/>
      <sheetName val="CDS"/>
      <sheetName val="CDS Chart"/>
      <sheetName val="LTM Price Chart"/>
      <sheetName val="5yr CDS Graph"/>
      <sheetName val="Data"/>
      <sheetName val="CDS Index Tearsheet"/>
      <sheetName val="Index Data"/>
    </sheetNames>
    <sheetDataSet>
      <sheetData sheetId="0" refreshError="1"/>
      <sheetData sheetId="1" refreshError="1"/>
      <sheetData sheetId="2" refreshError="1"/>
      <sheetData sheetId="3">
        <row r="6">
          <cell r="R6">
            <v>45825</v>
          </cell>
        </row>
        <row r="7">
          <cell r="R7">
            <v>45826</v>
          </cell>
        </row>
        <row r="8">
          <cell r="R8">
            <v>45828</v>
          </cell>
        </row>
        <row r="9">
          <cell r="R9">
            <v>45831</v>
          </cell>
        </row>
        <row r="10">
          <cell r="R10">
            <v>45832</v>
          </cell>
        </row>
        <row r="11">
          <cell r="R11">
            <v>45833</v>
          </cell>
        </row>
        <row r="12">
          <cell r="R12">
            <v>45834</v>
          </cell>
        </row>
        <row r="13">
          <cell r="R13">
            <v>45835</v>
          </cell>
        </row>
        <row r="14">
          <cell r="R14">
            <v>45838</v>
          </cell>
        </row>
        <row r="15">
          <cell r="R15">
            <v>45839</v>
          </cell>
        </row>
        <row r="16">
          <cell r="R16">
            <v>45840</v>
          </cell>
        </row>
        <row r="17">
          <cell r="R17">
            <v>45841</v>
          </cell>
        </row>
        <row r="18">
          <cell r="R18">
            <v>45845</v>
          </cell>
        </row>
        <row r="19">
          <cell r="R19">
            <v>45846</v>
          </cell>
        </row>
        <row r="20">
          <cell r="R20">
            <v>45847</v>
          </cell>
        </row>
        <row r="21">
          <cell r="R21">
            <v>45848</v>
          </cell>
        </row>
        <row r="22">
          <cell r="R22">
            <v>45849</v>
          </cell>
        </row>
        <row r="23">
          <cell r="R23">
            <v>45852</v>
          </cell>
        </row>
        <row r="24">
          <cell r="R24">
            <v>45853</v>
          </cell>
        </row>
        <row r="25">
          <cell r="R25">
            <v>45854</v>
          </cell>
        </row>
        <row r="26">
          <cell r="R26">
            <v>45855</v>
          </cell>
        </row>
        <row r="27">
          <cell r="R27">
            <v>45856</v>
          </cell>
        </row>
        <row r="28">
          <cell r="R28">
            <v>45859</v>
          </cell>
        </row>
        <row r="29">
          <cell r="R29">
            <v>45860</v>
          </cell>
        </row>
        <row r="30">
          <cell r="R30">
            <v>45861</v>
          </cell>
        </row>
        <row r="31">
          <cell r="R31">
            <v>45862</v>
          </cell>
        </row>
        <row r="32">
          <cell r="R32">
            <v>45863</v>
          </cell>
        </row>
        <row r="33">
          <cell r="R33">
            <v>45866</v>
          </cell>
        </row>
        <row r="34">
          <cell r="R34">
            <v>45867</v>
          </cell>
        </row>
        <row r="35">
          <cell r="R35">
            <v>45868</v>
          </cell>
        </row>
        <row r="36">
          <cell r="R36">
            <v>45869</v>
          </cell>
        </row>
        <row r="37">
          <cell r="R37">
            <v>45870</v>
          </cell>
        </row>
        <row r="38">
          <cell r="R38">
            <v>45873</v>
          </cell>
        </row>
        <row r="39">
          <cell r="R39">
            <v>45874</v>
          </cell>
        </row>
        <row r="40">
          <cell r="R40">
            <v>45875</v>
          </cell>
        </row>
        <row r="41">
          <cell r="R41">
            <v>45876</v>
          </cell>
        </row>
        <row r="42">
          <cell r="R42">
            <v>45877</v>
          </cell>
        </row>
        <row r="43">
          <cell r="R43">
            <v>45880</v>
          </cell>
        </row>
        <row r="44">
          <cell r="R44">
            <v>45881</v>
          </cell>
        </row>
        <row r="45">
          <cell r="R45">
            <v>45882</v>
          </cell>
        </row>
        <row r="46">
          <cell r="R46">
            <v>45883</v>
          </cell>
        </row>
        <row r="47">
          <cell r="R47">
            <v>45884</v>
          </cell>
        </row>
        <row r="48">
          <cell r="R48">
            <v>45887</v>
          </cell>
        </row>
        <row r="49">
          <cell r="R49">
            <v>45888</v>
          </cell>
        </row>
        <row r="50">
          <cell r="R50">
            <v>45889</v>
          </cell>
        </row>
        <row r="51">
          <cell r="R51">
            <v>45890</v>
          </cell>
        </row>
        <row r="52">
          <cell r="R52">
            <v>45891</v>
          </cell>
        </row>
        <row r="53">
          <cell r="R53">
            <v>45894</v>
          </cell>
        </row>
        <row r="54">
          <cell r="R54">
            <v>45895</v>
          </cell>
        </row>
        <row r="55">
          <cell r="R55">
            <v>45896</v>
          </cell>
        </row>
        <row r="56">
          <cell r="R56">
            <v>45897</v>
          </cell>
        </row>
        <row r="57">
          <cell r="R57">
            <v>45898</v>
          </cell>
        </row>
        <row r="58">
          <cell r="R58">
            <v>45902</v>
          </cell>
        </row>
        <row r="59">
          <cell r="R59">
            <v>45903</v>
          </cell>
        </row>
        <row r="60">
          <cell r="R60">
            <v>45904</v>
          </cell>
        </row>
        <row r="61">
          <cell r="R61">
            <v>45905</v>
          </cell>
        </row>
        <row r="62">
          <cell r="R62">
            <v>45908</v>
          </cell>
        </row>
        <row r="63">
          <cell r="R63">
            <v>45909</v>
          </cell>
        </row>
        <row r="64">
          <cell r="R64">
            <v>45910</v>
          </cell>
        </row>
        <row r="65">
          <cell r="R65">
            <v>45911</v>
          </cell>
        </row>
        <row r="66">
          <cell r="R66">
            <v>45912</v>
          </cell>
        </row>
        <row r="67">
          <cell r="R67">
            <v>45915</v>
          </cell>
        </row>
        <row r="68">
          <cell r="R68">
            <v>45916</v>
          </cell>
        </row>
        <row r="69">
          <cell r="R69">
            <v>45917</v>
          </cell>
        </row>
        <row r="70">
          <cell r="R70">
            <v>45918</v>
          </cell>
        </row>
        <row r="71">
          <cell r="R71">
            <v>45919</v>
          </cell>
        </row>
        <row r="72">
          <cell r="R72">
            <v>45922</v>
          </cell>
        </row>
        <row r="73">
          <cell r="R73">
            <v>45923</v>
          </cell>
        </row>
        <row r="74">
          <cell r="R74">
            <v>45924</v>
          </cell>
        </row>
        <row r="75">
          <cell r="R75">
            <v>45925</v>
          </cell>
        </row>
        <row r="76">
          <cell r="R76">
            <v>45926</v>
          </cell>
        </row>
        <row r="77">
          <cell r="R77">
            <v>45929</v>
          </cell>
        </row>
        <row r="78">
          <cell r="R78">
            <v>45930</v>
          </cell>
        </row>
        <row r="79">
          <cell r="R79">
            <v>45931</v>
          </cell>
        </row>
        <row r="80">
          <cell r="R80">
            <v>45932</v>
          </cell>
        </row>
        <row r="81">
          <cell r="R81">
            <v>45933</v>
          </cell>
        </row>
        <row r="82">
          <cell r="R82">
            <v>45936</v>
          </cell>
        </row>
        <row r="83">
          <cell r="R83">
            <v>45937</v>
          </cell>
        </row>
        <row r="84">
          <cell r="R84">
            <v>45938</v>
          </cell>
        </row>
        <row r="85">
          <cell r="R85">
            <v>45939</v>
          </cell>
        </row>
        <row r="86">
          <cell r="R86">
            <v>45940</v>
          </cell>
        </row>
        <row r="87">
          <cell r="R87">
            <v>45943</v>
          </cell>
        </row>
        <row r="88">
          <cell r="R88">
            <v>45944</v>
          </cell>
        </row>
        <row r="89">
          <cell r="R89">
            <v>45945</v>
          </cell>
        </row>
        <row r="90">
          <cell r="R90">
            <v>45946</v>
          </cell>
        </row>
        <row r="91">
          <cell r="R91">
            <v>45947</v>
          </cell>
        </row>
        <row r="92">
          <cell r="R92">
            <v>45950</v>
          </cell>
        </row>
        <row r="93">
          <cell r="R93">
            <v>45951</v>
          </cell>
        </row>
        <row r="94">
          <cell r="R94">
            <v>45952</v>
          </cell>
        </row>
        <row r="95">
          <cell r="R95">
            <v>45953</v>
          </cell>
        </row>
        <row r="96">
          <cell r="R96">
            <v>45954</v>
          </cell>
        </row>
        <row r="97">
          <cell r="R97">
            <v>45957</v>
          </cell>
        </row>
        <row r="98">
          <cell r="R98">
            <v>45958</v>
          </cell>
        </row>
        <row r="99">
          <cell r="R99">
            <v>45959</v>
          </cell>
        </row>
        <row r="100">
          <cell r="R100">
            <v>45960</v>
          </cell>
        </row>
        <row r="101">
          <cell r="R101">
            <v>45961</v>
          </cell>
        </row>
        <row r="102">
          <cell r="R102">
            <v>45964</v>
          </cell>
        </row>
        <row r="103">
          <cell r="R103">
            <v>45965</v>
          </cell>
        </row>
        <row r="104">
          <cell r="R104">
            <v>45966</v>
          </cell>
        </row>
        <row r="105">
          <cell r="R105">
            <v>45967</v>
          </cell>
        </row>
        <row r="106">
          <cell r="R106">
            <v>45968</v>
          </cell>
        </row>
        <row r="107">
          <cell r="R107">
            <v>45971</v>
          </cell>
        </row>
        <row r="108">
          <cell r="R108">
            <v>45972</v>
          </cell>
        </row>
        <row r="109">
          <cell r="R109">
            <v>45973</v>
          </cell>
        </row>
        <row r="110">
          <cell r="R110">
            <v>45974</v>
          </cell>
        </row>
        <row r="111">
          <cell r="R111">
            <v>45975</v>
          </cell>
        </row>
        <row r="112">
          <cell r="R112">
            <v>45978</v>
          </cell>
        </row>
        <row r="113">
          <cell r="R113">
            <v>45979</v>
          </cell>
        </row>
        <row r="114">
          <cell r="R114">
            <v>45980</v>
          </cell>
        </row>
        <row r="115">
          <cell r="R115">
            <v>45981</v>
          </cell>
        </row>
        <row r="116">
          <cell r="R116">
            <v>45982</v>
          </cell>
        </row>
        <row r="117">
          <cell r="R117">
            <v>45985</v>
          </cell>
        </row>
        <row r="118">
          <cell r="R118">
            <v>45986</v>
          </cell>
        </row>
        <row r="119">
          <cell r="R119">
            <v>45987</v>
          </cell>
        </row>
        <row r="120">
          <cell r="R120">
            <v>45989</v>
          </cell>
        </row>
        <row r="121">
          <cell r="R121">
            <v>45992</v>
          </cell>
        </row>
        <row r="122">
          <cell r="R122">
            <v>45993</v>
          </cell>
        </row>
        <row r="123">
          <cell r="R123">
            <v>45994</v>
          </cell>
        </row>
        <row r="124">
          <cell r="R124">
            <v>45995</v>
          </cell>
        </row>
        <row r="125">
          <cell r="R125">
            <v>45996</v>
          </cell>
        </row>
        <row r="126">
          <cell r="R126">
            <v>45999</v>
          </cell>
        </row>
        <row r="127">
          <cell r="R127">
            <v>46000</v>
          </cell>
        </row>
        <row r="128">
          <cell r="R128">
            <v>46001</v>
          </cell>
        </row>
        <row r="129">
          <cell r="R129">
            <v>46002</v>
          </cell>
        </row>
        <row r="130">
          <cell r="R130">
            <v>46003</v>
          </cell>
        </row>
        <row r="131">
          <cell r="R131">
            <v>46006</v>
          </cell>
        </row>
        <row r="132">
          <cell r="R132">
            <v>46007</v>
          </cell>
        </row>
        <row r="133">
          <cell r="R133">
            <v>46008</v>
          </cell>
        </row>
        <row r="134">
          <cell r="R134">
            <v>46009</v>
          </cell>
        </row>
        <row r="135">
          <cell r="R135">
            <v>46010</v>
          </cell>
        </row>
        <row r="136">
          <cell r="R136">
            <v>46013</v>
          </cell>
        </row>
        <row r="137">
          <cell r="R137">
            <v>46014</v>
          </cell>
        </row>
        <row r="138">
          <cell r="R138">
            <v>46015</v>
          </cell>
        </row>
        <row r="139">
          <cell r="R139">
            <v>46017</v>
          </cell>
        </row>
        <row r="140">
          <cell r="R140">
            <v>46020</v>
          </cell>
        </row>
        <row r="141">
          <cell r="R141">
            <v>46021</v>
          </cell>
        </row>
        <row r="142">
          <cell r="R142">
            <v>46022</v>
          </cell>
        </row>
        <row r="143">
          <cell r="R143">
            <v>46024</v>
          </cell>
        </row>
        <row r="144">
          <cell r="R144">
            <v>46027</v>
          </cell>
        </row>
        <row r="145">
          <cell r="R145">
            <v>46028</v>
          </cell>
        </row>
        <row r="146">
          <cell r="R146">
            <v>46029</v>
          </cell>
        </row>
        <row r="147">
          <cell r="R147">
            <v>46030</v>
          </cell>
        </row>
        <row r="148">
          <cell r="R148">
            <v>46031</v>
          </cell>
        </row>
        <row r="149">
          <cell r="R149">
            <v>46034</v>
          </cell>
        </row>
        <row r="150">
          <cell r="R150">
            <v>46035</v>
          </cell>
        </row>
        <row r="151">
          <cell r="R151">
            <v>46036</v>
          </cell>
        </row>
        <row r="152">
          <cell r="R152">
            <v>46037</v>
          </cell>
        </row>
        <row r="153">
          <cell r="R153">
            <v>46038</v>
          </cell>
        </row>
        <row r="154">
          <cell r="R154">
            <v>46042</v>
          </cell>
        </row>
        <row r="155">
          <cell r="R155">
            <v>46043</v>
          </cell>
        </row>
        <row r="156">
          <cell r="R156">
            <v>46044</v>
          </cell>
        </row>
        <row r="157">
          <cell r="R157">
            <v>46045</v>
          </cell>
        </row>
        <row r="158">
          <cell r="R158">
            <v>46048</v>
          </cell>
        </row>
        <row r="159">
          <cell r="R159">
            <v>46049</v>
          </cell>
        </row>
        <row r="160">
          <cell r="R160">
            <v>46050</v>
          </cell>
        </row>
        <row r="161">
          <cell r="R161">
            <v>46051</v>
          </cell>
        </row>
        <row r="162">
          <cell r="R162">
            <v>46052</v>
          </cell>
        </row>
        <row r="163">
          <cell r="R163">
            <v>46055</v>
          </cell>
        </row>
        <row r="164">
          <cell r="R164">
            <v>46056</v>
          </cell>
        </row>
        <row r="165">
          <cell r="R165">
            <v>46057</v>
          </cell>
        </row>
        <row r="166">
          <cell r="R166">
            <v>46058</v>
          </cell>
        </row>
        <row r="167">
          <cell r="R167">
            <v>46059</v>
          </cell>
        </row>
        <row r="168">
          <cell r="R168">
            <v>46062</v>
          </cell>
        </row>
        <row r="169">
          <cell r="R169">
            <v>46063</v>
          </cell>
        </row>
        <row r="170">
          <cell r="R170">
            <v>46064</v>
          </cell>
        </row>
        <row r="171">
          <cell r="R171">
            <v>46065</v>
          </cell>
        </row>
        <row r="172">
          <cell r="R172">
            <v>46066</v>
          </cell>
        </row>
        <row r="173">
          <cell r="R173">
            <v>46070</v>
          </cell>
        </row>
        <row r="174">
          <cell r="R174">
            <v>46071</v>
          </cell>
        </row>
        <row r="175">
          <cell r="R175">
            <v>46072</v>
          </cell>
        </row>
        <row r="176">
          <cell r="R176">
            <v>46073</v>
          </cell>
        </row>
        <row r="177">
          <cell r="R177">
            <v>46076</v>
          </cell>
        </row>
        <row r="178">
          <cell r="R178">
            <v>46077</v>
          </cell>
        </row>
        <row r="179">
          <cell r="R179">
            <v>46078</v>
          </cell>
        </row>
        <row r="180">
          <cell r="R180">
            <v>46079</v>
          </cell>
        </row>
        <row r="181">
          <cell r="R181">
            <v>46080</v>
          </cell>
        </row>
        <row r="182">
          <cell r="R182">
            <v>46083</v>
          </cell>
        </row>
        <row r="183">
          <cell r="R183">
            <v>46084</v>
          </cell>
        </row>
        <row r="184">
          <cell r="R184">
            <v>46085</v>
          </cell>
        </row>
        <row r="185">
          <cell r="R185">
            <v>46086</v>
          </cell>
        </row>
        <row r="186">
          <cell r="R186">
            <v>46087</v>
          </cell>
        </row>
        <row r="187">
          <cell r="R187">
            <v>46090</v>
          </cell>
        </row>
        <row r="188">
          <cell r="R188">
            <v>46091</v>
          </cell>
        </row>
        <row r="189">
          <cell r="R189">
            <v>46092</v>
          </cell>
        </row>
        <row r="190">
          <cell r="R190">
            <v>46093</v>
          </cell>
        </row>
        <row r="191">
          <cell r="R191">
            <v>46094</v>
          </cell>
        </row>
        <row r="192">
          <cell r="R192">
            <v>46097</v>
          </cell>
        </row>
        <row r="193">
          <cell r="R193">
            <v>46098</v>
          </cell>
        </row>
        <row r="194">
          <cell r="R194">
            <v>46099</v>
          </cell>
        </row>
        <row r="195">
          <cell r="R195">
            <v>46100</v>
          </cell>
        </row>
        <row r="196">
          <cell r="R196">
            <v>46101</v>
          </cell>
        </row>
        <row r="197">
          <cell r="R197">
            <v>46104</v>
          </cell>
        </row>
        <row r="198">
          <cell r="R198">
            <v>46105</v>
          </cell>
        </row>
        <row r="199">
          <cell r="R199">
            <v>46106</v>
          </cell>
        </row>
        <row r="200">
          <cell r="R200">
            <v>46107</v>
          </cell>
        </row>
        <row r="201">
          <cell r="R201">
            <v>46108</v>
          </cell>
        </row>
        <row r="202">
          <cell r="R202">
            <v>46111</v>
          </cell>
        </row>
        <row r="203">
          <cell r="R203">
            <v>46112</v>
          </cell>
        </row>
        <row r="204">
          <cell r="R204">
            <v>46113</v>
          </cell>
        </row>
        <row r="205">
          <cell r="R205">
            <v>46114</v>
          </cell>
        </row>
        <row r="206">
          <cell r="R206">
            <v>46118</v>
          </cell>
        </row>
        <row r="207">
          <cell r="R207">
            <v>46119</v>
          </cell>
        </row>
        <row r="208">
          <cell r="R208">
            <v>46120</v>
          </cell>
        </row>
        <row r="209">
          <cell r="R209">
            <v>46121</v>
          </cell>
        </row>
        <row r="210">
          <cell r="R210">
            <v>46122</v>
          </cell>
        </row>
        <row r="211">
          <cell r="R211">
            <v>46125</v>
          </cell>
        </row>
        <row r="212">
          <cell r="R212">
            <v>46126</v>
          </cell>
        </row>
        <row r="213">
          <cell r="R213">
            <v>46127</v>
          </cell>
        </row>
        <row r="214">
          <cell r="R214">
            <v>46128</v>
          </cell>
        </row>
        <row r="215">
          <cell r="R215">
            <v>46129</v>
          </cell>
        </row>
        <row r="216">
          <cell r="R216">
            <v>46132</v>
          </cell>
        </row>
        <row r="217">
          <cell r="R217">
            <v>46133</v>
          </cell>
        </row>
        <row r="218">
          <cell r="R218">
            <v>46134</v>
          </cell>
        </row>
        <row r="219">
          <cell r="R219">
            <v>46135</v>
          </cell>
        </row>
        <row r="220">
          <cell r="R220">
            <v>46136</v>
          </cell>
        </row>
        <row r="221">
          <cell r="R221">
            <v>46139</v>
          </cell>
        </row>
        <row r="222">
          <cell r="R222">
            <v>46140</v>
          </cell>
        </row>
        <row r="223">
          <cell r="R223">
            <v>46141</v>
          </cell>
        </row>
        <row r="224">
          <cell r="R224">
            <v>46142</v>
          </cell>
        </row>
        <row r="225">
          <cell r="R225">
            <v>46143</v>
          </cell>
        </row>
        <row r="226">
          <cell r="R226">
            <v>46146</v>
          </cell>
        </row>
        <row r="227">
          <cell r="R227">
            <v>46147</v>
          </cell>
        </row>
        <row r="228">
          <cell r="R228">
            <v>46148</v>
          </cell>
        </row>
        <row r="229">
          <cell r="R229">
            <v>46149</v>
          </cell>
        </row>
        <row r="230">
          <cell r="R230">
            <v>46150</v>
          </cell>
        </row>
        <row r="231">
          <cell r="R231">
            <v>46153</v>
          </cell>
        </row>
        <row r="232">
          <cell r="R232">
            <v>46154</v>
          </cell>
        </row>
        <row r="233">
          <cell r="R233">
            <v>46155</v>
          </cell>
        </row>
        <row r="234">
          <cell r="R234">
            <v>46156</v>
          </cell>
        </row>
        <row r="235">
          <cell r="R235">
            <v>46157</v>
          </cell>
        </row>
        <row r="236">
          <cell r="R236">
            <v>46160</v>
          </cell>
        </row>
        <row r="237">
          <cell r="R237">
            <v>46161</v>
          </cell>
        </row>
        <row r="238">
          <cell r="R238">
            <v>46162</v>
          </cell>
        </row>
        <row r="239">
          <cell r="R239">
            <v>46163</v>
          </cell>
        </row>
        <row r="240">
          <cell r="R240">
            <v>46164</v>
          </cell>
        </row>
        <row r="241">
          <cell r="R241">
            <v>46168</v>
          </cell>
        </row>
        <row r="242">
          <cell r="R242">
            <v>46169</v>
          </cell>
        </row>
        <row r="243">
          <cell r="R243">
            <v>46170</v>
          </cell>
        </row>
        <row r="244">
          <cell r="R244">
            <v>46171</v>
          </cell>
        </row>
        <row r="245">
          <cell r="R245">
            <v>46174</v>
          </cell>
        </row>
        <row r="246">
          <cell r="R246">
            <v>46175</v>
          </cell>
        </row>
        <row r="247">
          <cell r="R247">
            <v>46176</v>
          </cell>
        </row>
        <row r="248">
          <cell r="R248">
            <v>46177</v>
          </cell>
        </row>
        <row r="249">
          <cell r="R249">
            <v>46178</v>
          </cell>
        </row>
        <row r="250">
          <cell r="R250">
            <v>46181</v>
          </cell>
        </row>
        <row r="251">
          <cell r="R251">
            <v>46182</v>
          </cell>
        </row>
        <row r="252">
          <cell r="R252">
            <v>46183</v>
          </cell>
        </row>
        <row r="253">
          <cell r="R253">
            <v>46184</v>
          </cell>
        </row>
        <row r="254">
          <cell r="R254">
            <v>46185</v>
          </cell>
        </row>
        <row r="255">
          <cell r="R255">
            <v>46188</v>
          </cell>
        </row>
        <row r="256">
          <cell r="R256">
            <v>46189</v>
          </cell>
        </row>
        <row r="257">
          <cell r="R257">
            <v>46190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366D-1C5E-4566-BD7A-35ECABCEB43B}">
  <dimension ref="A1:DY1"/>
  <sheetViews>
    <sheetView workbookViewId="0"/>
  </sheetViews>
  <sheetFormatPr defaultRowHeight="14.5"/>
  <sheetData>
    <row r="1" spans="1:129">
      <c r="A1">
        <v>129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  <c r="Y1" t="s">
        <v>299</v>
      </c>
      <c r="Z1" t="s">
        <v>300</v>
      </c>
      <c r="AA1" t="s">
        <v>301</v>
      </c>
      <c r="AB1" t="s">
        <v>302</v>
      </c>
      <c r="AC1" t="s">
        <v>303</v>
      </c>
      <c r="AD1" t="s">
        <v>304</v>
      </c>
      <c r="AE1" t="s">
        <v>305</v>
      </c>
      <c r="AF1" t="s">
        <v>306</v>
      </c>
      <c r="AG1" t="s">
        <v>307</v>
      </c>
      <c r="AH1" t="s">
        <v>308</v>
      </c>
      <c r="AI1" t="s">
        <v>309</v>
      </c>
      <c r="AJ1" t="s">
        <v>310</v>
      </c>
      <c r="AK1" t="s">
        <v>311</v>
      </c>
      <c r="AL1" t="s">
        <v>312</v>
      </c>
      <c r="AM1" t="s">
        <v>313</v>
      </c>
      <c r="AN1" t="s">
        <v>314</v>
      </c>
      <c r="AO1" t="s">
        <v>315</v>
      </c>
      <c r="AP1" t="s">
        <v>316</v>
      </c>
      <c r="AQ1" t="s">
        <v>317</v>
      </c>
      <c r="AR1" t="s">
        <v>318</v>
      </c>
      <c r="AS1" t="s">
        <v>319</v>
      </c>
      <c r="AT1" t="s">
        <v>320</v>
      </c>
      <c r="AU1" t="s">
        <v>321</v>
      </c>
      <c r="AV1" t="s">
        <v>322</v>
      </c>
      <c r="AW1" t="s">
        <v>323</v>
      </c>
      <c r="AX1" t="s">
        <v>324</v>
      </c>
      <c r="AY1" t="s">
        <v>325</v>
      </c>
      <c r="AZ1" t="s">
        <v>326</v>
      </c>
      <c r="BA1" t="s">
        <v>327</v>
      </c>
      <c r="BB1" t="s">
        <v>328</v>
      </c>
      <c r="BC1" t="s">
        <v>329</v>
      </c>
      <c r="BD1" t="s">
        <v>330</v>
      </c>
      <c r="BE1" t="s">
        <v>331</v>
      </c>
      <c r="BF1" t="s">
        <v>332</v>
      </c>
      <c r="BG1" t="s">
        <v>333</v>
      </c>
      <c r="BH1" t="s">
        <v>334</v>
      </c>
      <c r="BI1" t="s">
        <v>335</v>
      </c>
      <c r="BJ1" t="s">
        <v>336</v>
      </c>
      <c r="BK1" t="s">
        <v>337</v>
      </c>
      <c r="BL1" t="s">
        <v>338</v>
      </c>
      <c r="BM1" t="s">
        <v>339</v>
      </c>
      <c r="BN1" t="s">
        <v>340</v>
      </c>
      <c r="BO1" t="s">
        <v>341</v>
      </c>
      <c r="BP1" t="s">
        <v>342</v>
      </c>
      <c r="BQ1" t="s">
        <v>343</v>
      </c>
      <c r="BR1" t="s">
        <v>344</v>
      </c>
      <c r="BS1" t="s">
        <v>345</v>
      </c>
      <c r="BT1" t="s">
        <v>346</v>
      </c>
      <c r="BU1" t="s">
        <v>347</v>
      </c>
      <c r="BV1" t="s">
        <v>348</v>
      </c>
      <c r="BW1" t="s">
        <v>349</v>
      </c>
      <c r="BX1" t="s">
        <v>350</v>
      </c>
      <c r="BY1" t="s">
        <v>351</v>
      </c>
      <c r="BZ1" t="s">
        <v>352</v>
      </c>
      <c r="CA1" t="s">
        <v>353</v>
      </c>
      <c r="CB1" t="s">
        <v>354</v>
      </c>
      <c r="CC1" t="s">
        <v>355</v>
      </c>
      <c r="CD1" t="s">
        <v>356</v>
      </c>
      <c r="CE1" t="s">
        <v>357</v>
      </c>
      <c r="CF1" t="s">
        <v>358</v>
      </c>
      <c r="CG1" t="s">
        <v>359</v>
      </c>
      <c r="CH1" t="s">
        <v>360</v>
      </c>
      <c r="CI1" t="s">
        <v>361</v>
      </c>
      <c r="CJ1" t="s">
        <v>362</v>
      </c>
      <c r="CK1" t="s">
        <v>363</v>
      </c>
      <c r="CL1" t="s">
        <v>364</v>
      </c>
      <c r="CM1" t="s">
        <v>365</v>
      </c>
      <c r="CN1" t="s">
        <v>366</v>
      </c>
      <c r="CO1" t="s">
        <v>367</v>
      </c>
      <c r="CP1" t="s">
        <v>368</v>
      </c>
      <c r="CQ1" t="s">
        <v>369</v>
      </c>
      <c r="CR1" t="s">
        <v>370</v>
      </c>
      <c r="CS1" t="s">
        <v>371</v>
      </c>
      <c r="CT1" t="s">
        <v>372</v>
      </c>
      <c r="CU1" t="s">
        <v>373</v>
      </c>
      <c r="CV1" t="s">
        <v>374</v>
      </c>
      <c r="CW1" t="s">
        <v>375</v>
      </c>
      <c r="CX1" t="s">
        <v>376</v>
      </c>
      <c r="CY1" t="s">
        <v>377</v>
      </c>
      <c r="CZ1" t="s">
        <v>378</v>
      </c>
      <c r="DA1" t="s">
        <v>379</v>
      </c>
      <c r="DB1" t="s">
        <v>380</v>
      </c>
      <c r="DC1" t="s">
        <v>381</v>
      </c>
      <c r="DD1" t="s">
        <v>382</v>
      </c>
      <c r="DE1" t="s">
        <v>383</v>
      </c>
      <c r="DF1" t="s">
        <v>384</v>
      </c>
      <c r="DG1" t="s">
        <v>385</v>
      </c>
      <c r="DH1" t="s">
        <v>386</v>
      </c>
      <c r="DI1" t="s">
        <v>387</v>
      </c>
      <c r="DJ1" t="s">
        <v>388</v>
      </c>
      <c r="DK1" t="s">
        <v>389</v>
      </c>
      <c r="DL1" t="s">
        <v>390</v>
      </c>
      <c r="DM1" t="s">
        <v>391</v>
      </c>
      <c r="DN1" t="s">
        <v>392</v>
      </c>
      <c r="DO1" t="s">
        <v>393</v>
      </c>
      <c r="DP1" t="s">
        <v>394</v>
      </c>
      <c r="DQ1" t="s">
        <v>395</v>
      </c>
      <c r="DR1" t="s">
        <v>396</v>
      </c>
      <c r="DS1" t="s">
        <v>397</v>
      </c>
      <c r="DT1" t="s">
        <v>398</v>
      </c>
      <c r="DU1" t="s">
        <v>399</v>
      </c>
      <c r="DV1" t="s">
        <v>400</v>
      </c>
      <c r="DW1" t="s">
        <v>401</v>
      </c>
      <c r="DX1" t="s">
        <v>402</v>
      </c>
      <c r="DY1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zoomScale="90" zoomScaleNormal="90" workbookViewId="0">
      <pane xSplit="2" ySplit="6" topLeftCell="C7" activePane="bottomRight" state="frozen"/>
      <selection pane="topRight"/>
      <selection pane="bottomLeft"/>
      <selection pane="bottomRight" activeCell="J15" sqref="J15"/>
    </sheetView>
  </sheetViews>
  <sheetFormatPr defaultRowHeight="14.5"/>
  <cols>
    <col min="1" max="2" width="18" customWidth="1"/>
    <col min="3" max="3" width="14.08984375" customWidth="1"/>
    <col min="4" max="4" width="10.36328125" customWidth="1"/>
    <col min="5" max="5" width="11.36328125" customWidth="1"/>
    <col min="6" max="6" width="11.1796875" customWidth="1"/>
    <col min="7" max="7" width="8" customWidth="1"/>
    <col min="8" max="8" width="10.1796875" customWidth="1"/>
    <col min="9" max="9" width="9.36328125" customWidth="1"/>
    <col min="10" max="11" width="11.7265625" customWidth="1"/>
    <col min="12" max="12" width="9.7265625" customWidth="1"/>
    <col min="13" max="13" width="9.81640625" customWidth="1"/>
    <col min="14" max="14" width="9.90625" customWidth="1"/>
    <col min="15" max="15" width="7" customWidth="1"/>
    <col min="16" max="16" width="15.36328125" customWidth="1"/>
    <col min="17" max="17" width="12.7265625" customWidth="1"/>
    <col min="18" max="18" width="13.7265625" customWidth="1"/>
    <col min="19" max="19" width="15.1796875" customWidth="1"/>
    <col min="22" max="22" width="11.81640625" customWidth="1"/>
    <col min="23" max="23" width="14" customWidth="1"/>
  </cols>
  <sheetData>
    <row r="1" spans="1:25" ht="24" customHeight="1">
      <c r="A1" s="65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25" ht="6" customHeight="1"/>
    <row r="3" spans="1:25">
      <c r="C3" s="67" t="s">
        <v>1</v>
      </c>
      <c r="D3" s="63"/>
      <c r="E3" s="63"/>
      <c r="F3" s="63"/>
      <c r="G3" s="63"/>
      <c r="H3" s="67" t="s">
        <v>2</v>
      </c>
      <c r="I3" s="63"/>
      <c r="J3" s="63"/>
      <c r="K3" s="63"/>
      <c r="L3" s="67" t="s">
        <v>3</v>
      </c>
      <c r="M3" s="63"/>
      <c r="N3" s="63"/>
      <c r="O3" s="63"/>
      <c r="P3" s="9"/>
      <c r="Q3" s="9"/>
    </row>
    <row r="4" spans="1:25" ht="28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7</v>
      </c>
      <c r="M4" s="1" t="s">
        <v>8</v>
      </c>
      <c r="N4" s="1" t="s">
        <v>9</v>
      </c>
      <c r="O4" s="1" t="s">
        <v>10</v>
      </c>
      <c r="P4" s="18" t="str" cm="1">
        <f t="array" ref="P4">_xll.ciqfunctions.udf.CIQ("AAPL-US","IQ_COMPANY_NAME")</f>
        <v>(Invalid Identifier)</v>
      </c>
      <c r="Q4" s="18"/>
    </row>
    <row r="5" spans="1:25">
      <c r="A5" s="64" t="s">
        <v>274</v>
      </c>
      <c r="B5" s="63"/>
      <c r="C5" s="2"/>
      <c r="D5" s="16">
        <v>-3</v>
      </c>
      <c r="E5" s="16">
        <v>-3</v>
      </c>
      <c r="F5" s="16">
        <v>-15</v>
      </c>
      <c r="G5" s="16">
        <v>-20</v>
      </c>
      <c r="H5" s="16">
        <v>3</v>
      </c>
      <c r="I5" s="16">
        <v>5</v>
      </c>
      <c r="J5" s="16">
        <v>15</v>
      </c>
      <c r="K5" s="16">
        <v>25</v>
      </c>
      <c r="L5" s="16"/>
      <c r="M5" s="16"/>
      <c r="N5" s="16"/>
      <c r="O5" s="16"/>
    </row>
    <row r="6" spans="1:25">
      <c r="A6" s="64" t="s">
        <v>275</v>
      </c>
      <c r="B6" s="63"/>
      <c r="C6" s="2"/>
      <c r="D6" s="16">
        <v>3</v>
      </c>
      <c r="E6" s="16">
        <v>3</v>
      </c>
      <c r="F6" s="16">
        <v>15</v>
      </c>
      <c r="G6" s="16">
        <v>20</v>
      </c>
      <c r="H6" s="16">
        <v>-3</v>
      </c>
      <c r="I6" s="16">
        <v>-5</v>
      </c>
      <c r="J6" s="16">
        <v>-15</v>
      </c>
      <c r="K6" s="16">
        <v>-25</v>
      </c>
      <c r="L6" s="16"/>
      <c r="M6" s="16"/>
      <c r="N6" s="16"/>
      <c r="O6" s="16"/>
      <c r="R6" s="14"/>
      <c r="S6" s="14"/>
      <c r="X6" s="33"/>
      <c r="Y6" s="33"/>
    </row>
    <row r="7" spans="1:25" ht="14" customHeight="1">
      <c r="A7" s="66" t="s">
        <v>11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9"/>
      <c r="P7" s="14" t="s">
        <v>93</v>
      </c>
      <c r="Q7" s="14" t="s">
        <v>94</v>
      </c>
      <c r="R7" s="14" t="s">
        <v>118</v>
      </c>
      <c r="S7" s="14" t="s">
        <v>119</v>
      </c>
      <c r="T7" s="14" t="s">
        <v>133</v>
      </c>
      <c r="U7" s="14" t="s">
        <v>160</v>
      </c>
      <c r="V7" s="14" t="s">
        <v>161</v>
      </c>
      <c r="W7" s="14"/>
    </row>
    <row r="8" spans="1:25" ht="14" customHeight="1">
      <c r="A8" s="3" t="s">
        <v>12</v>
      </c>
      <c r="B8" s="47"/>
      <c r="C8" s="45">
        <f ca="1">'CDS from CapitalIQ'!C3</f>
        <v>124.35599999999999</v>
      </c>
      <c r="D8" s="28">
        <f ca="1">'CDS from CapitalIQ'!T3</f>
        <v>3.6165999999999912</v>
      </c>
      <c r="E8" s="28">
        <f ca="1">'CDS from CapitalIQ'!V3</f>
        <v>-0.37600000000000477</v>
      </c>
      <c r="F8" s="28">
        <f ca="1">'CDS from CapitalIQ'!W3</f>
        <v>0.64909999999999002</v>
      </c>
      <c r="G8" s="36">
        <f ca="1">'CDS from CapitalIQ'!X3</f>
        <v>-24.031800000000004</v>
      </c>
      <c r="H8" s="37" cm="1">
        <f t="array" aca="1" ref="H8" ca="1">(_xll.TR(Q8,"TR.PriceClose")-_xll.TR(Q8,"TR.PriceClose","SDate:"&amp;TEXT(WORKDAY(TODAY(),-5),"yyyy-mm-dd")))/_xll.TR(Q8,"TR.PriceClose","SDate:"&amp;TEXT(WORKDAY(TODAY(),-5),"yyyy-mm-dd"))*100</f>
        <v>0.38679977977907293</v>
      </c>
      <c r="I8" s="4" cm="1">
        <f t="array" aca="1" ref="I8" ca="1">((_xll.TR(Q8,"TR.PriceClose")-_xll.TR(Q8,"TR.PriceClose","SDate:"&amp;TEXT(WORKDAY(TODAY(),-14),"yyyy-mm-dd")))/_xll.TR(Q8,"TR.PriceClose","SDate:"&amp;TEXT(WORKDAY(TODAY(),-14),"yyyy-mm-dd")))*100</f>
        <v>1.1750157016005394</v>
      </c>
      <c r="J8" s="4" cm="1">
        <f t="array" aca="1" ref="J8" ca="1">IFERROR(((_xll.TR(Q8,"TR.PriceClose")-_xll.TR(Q8,"TR.PriceClose","SDate:"&amp;EDATE(TODAY(),-3)))/_xll.TR(Q8,"TR.PriceClose","SDate:"&amp;EDATE(TODAY(),-3)))*100,"-")</f>
        <v>-8.1954526664085137</v>
      </c>
      <c r="K8" s="53" cm="1">
        <f t="array" aca="1" ref="K8" ca="1">IFERROR(((_xll.TR(Q8,"TR.PriceClose")-_xll.TR(Q8,"TR.PriceClose","SDate:"&amp;EDATE(TODAY(),-12)))/_xll.TR(Q8,"TR.PriceClose","SDate:"&amp;EDATE(TODAY(),-12)))*100,"-")</f>
        <v>30.344893336922212</v>
      </c>
      <c r="L8" s="52" cm="1">
        <f t="array" aca="1" ref="L8" ca="1">_xll.TR(T8,"TR.MIDPRICE","SDate:"&amp;TEXT(WORKDAY(TODAY(),-5),"yyyy-mm-dd"))</f>
        <v>5.0900499999999997</v>
      </c>
      <c r="M8" s="4" cm="1">
        <f t="array" aca="1" ref="M8" ca="1">_xll.TR(T8,"TR.MIDPRICE","SDate:"&amp;TEXT(WORKDAY(TODAY(),-14),"yyyy-mm-dd"))</f>
        <v>5.1587500000000004</v>
      </c>
      <c r="N8" s="4" cm="1">
        <f t="array" ref="N8">-_xll.TR(T8,"PCTCHG_3M")</f>
        <v>-2.4900000000000002</v>
      </c>
      <c r="O8" s="53" cm="1">
        <f t="array" ref="O8">-_xll.TR(T8,"PCTCHG_YTD")</f>
        <v>6.82</v>
      </c>
      <c r="P8" t="s">
        <v>90</v>
      </c>
      <c r="Q8" t="s">
        <v>95</v>
      </c>
      <c r="R8" cm="1">
        <f t="array" ref="R8">_xll.TR(Q8,"TR.PriceClose")</f>
        <v>174041.95</v>
      </c>
      <c r="S8" cm="1">
        <f t="array" aca="1" ref="S8" ca="1">_xll.TR(Q8,"TR.PriceClose","SDate:"&amp;TEXT(WORKDAY(TODAY(),-5),"yyyy-mm-dd"))</f>
        <v>173371.35</v>
      </c>
      <c r="T8" t="s">
        <v>134</v>
      </c>
      <c r="U8" s="9" cm="1">
        <f t="array" ref="U8">_xll.TR(T8,"BID")</f>
        <v>5.1036000000000001</v>
      </c>
      <c r="V8" s="9" cm="1">
        <f t="array" aca="1" ref="V8" ca="1">_xll.TR(T8,"CF_CLOSE","SDate:"&amp;TEXT(WORKDAY(TODAY(),-5),"yyyy-mm-dd"))</f>
        <v>5.0837000000000003</v>
      </c>
      <c r="W8" s="9"/>
    </row>
    <row r="9" spans="1:25" ht="14" customHeight="1">
      <c r="A9" s="5" t="s">
        <v>13</v>
      </c>
      <c r="B9" s="46"/>
      <c r="C9" s="45">
        <f ca="1">'CDS from CapitalIQ'!C4</f>
        <v>11.034000000000001</v>
      </c>
      <c r="D9" s="28">
        <f ca="1">'CDS from CapitalIQ'!T4</f>
        <v>3.2500000000000639E-2</v>
      </c>
      <c r="E9" s="28">
        <f ca="1">'CDS from CapitalIQ'!V4</f>
        <v>-0.16679999999999851</v>
      </c>
      <c r="F9" s="28">
        <f ca="1">'CDS from CapitalIQ'!W4</f>
        <v>-1.3207999999999984</v>
      </c>
      <c r="G9" s="36">
        <f ca="1">'CDS from CapitalIQ'!X4</f>
        <v>-4.9391999999999996</v>
      </c>
      <c r="H9" s="37" cm="1">
        <f t="array" aca="1" ref="H9" ca="1">(_xll.TR(Q9,"TR.PriceClose")-_xll.TR(Q9,"TR.PriceClose","SDate:"&amp;TEXT(WORKDAY(TODAY(),-5),"yyyy-mm-dd")))/_xll.TR(Q9,"TR.PriceClose","SDate:"&amp;TEXT(WORKDAY(TODAY(),-5),"yyyy-mm-dd"))*100</f>
        <v>1.1692684735151133</v>
      </c>
      <c r="I9" s="4" cm="1">
        <f t="array" aca="1" ref="I9" ca="1">((_xll.TR(Q9,"TR.PriceClose")-_xll.TR(Q9,"TR.PriceClose","SDate:"&amp;TEXT(WORKDAY(TODAY(),-14),"yyyy-mm-dd")))/_xll.TR(Q9,"TR.PriceClose","SDate:"&amp;TEXT(WORKDAY(TODAY(),-14),"yyyy-mm-dd")))*100</f>
        <v>0.27361188957205024</v>
      </c>
      <c r="J9" s="4" cm="1">
        <f t="array" aca="1" ref="J9" ca="1">IFERROR(((_xll.TR(Q9,"TR.PriceClose")-_xll.TR(Q9,"TR.PriceClose","SDate:"&amp;EDATE(TODAY(),-3)))/_xll.TR(Q9,"TR.PriceClose","SDate:"&amp;EDATE(TODAY(),-3)))*100,"-")</f>
        <v>4.5860230840266611</v>
      </c>
      <c r="K9" s="53" cm="1">
        <f t="array" aca="1" ref="K9" ca="1">IFERROR(((_xll.TR(Q9,"TR.PriceClose")-_xll.TR(Q9,"TR.PriceClose","SDate:"&amp;EDATE(TODAY(),-12)))/_xll.TR(Q9,"TR.PriceClose","SDate:"&amp;EDATE(TODAY(),-12)))*100,"-")</f>
        <v>28.641339038747965</v>
      </c>
      <c r="L9" s="52" cm="1">
        <f t="array" aca="1" ref="L9" ca="1">_xll.TR(T9,"TR.BIDPRICE","SDate:"&amp;TEXT(WORKDAY(TODAY(),-5),"yyyy-mm-dd"))</f>
        <v>1.4069</v>
      </c>
      <c r="M9" s="4" cm="1">
        <f t="array" aca="1" ref="M9" ca="1">_xll.TR(T9,"TR.MIDPRICE","SDate:"&amp;TEXT(WORKDAY(TODAY(),-14),"yyyy-mm-dd"))</f>
        <v>1.42005</v>
      </c>
      <c r="N9" s="4" cm="1">
        <f t="array" ref="N9">-_xll.TR(T9,"PCTCHG_3M")</f>
        <v>-3.23</v>
      </c>
      <c r="O9" s="53" cm="1">
        <f t="array" ref="O9">-_xll.TR(T9,"PCTCHG_YTD")</f>
        <v>-2.81</v>
      </c>
      <c r="P9" t="s">
        <v>91</v>
      </c>
      <c r="Q9" t="s">
        <v>96</v>
      </c>
      <c r="R9" cm="1">
        <f t="array" ref="R9">_xll.TR(Q9,"TR.PriceClose")</f>
        <v>35369.1</v>
      </c>
      <c r="S9" cm="1">
        <f t="array" aca="1" ref="S9" ca="1">_xll.TR(Q9,"TR.PriceClose","SDate:"&amp;TEXT(WORKDAY(TODAY(),-5),"yyyy-mm-dd"))</f>
        <v>34960.32</v>
      </c>
      <c r="T9" t="s">
        <v>135</v>
      </c>
      <c r="U9" s="9" cm="1">
        <f t="array" ref="U9">_xll.TR(T9,"BID")</f>
        <v>1.4109</v>
      </c>
      <c r="V9" s="9" cm="1">
        <f t="array" aca="1" ref="V9" ca="1">_xll.TR(T9,"CF_CLOSE","SDate:"&amp;TEXT(WORKDAY(TODAY(),-5),"yyyy-mm-dd"))</f>
        <v>1.4092</v>
      </c>
    </row>
    <row r="10" spans="1:25" ht="14" customHeight="1">
      <c r="A10" s="3" t="s">
        <v>14</v>
      </c>
      <c r="B10" s="47"/>
      <c r="C10" s="45">
        <f ca="1">'CDS from CapitalIQ'!C5</f>
        <v>87.801100000000005</v>
      </c>
      <c r="D10" s="28">
        <f ca="1">'CDS from CapitalIQ'!T5</f>
        <v>1.926400000000001</v>
      </c>
      <c r="E10" s="28">
        <f ca="1">'CDS from CapitalIQ'!V5</f>
        <v>1.9526000000000039</v>
      </c>
      <c r="F10" s="28">
        <f ca="1">'CDS from CapitalIQ'!W5</f>
        <v>-1.1426000000000016</v>
      </c>
      <c r="G10" s="36">
        <f ca="1">'CDS from CapitalIQ'!X5</f>
        <v>-24.597099999999998</v>
      </c>
      <c r="H10" s="37" cm="1">
        <f t="array" aca="1" ref="H10" ca="1">(_xll.TR(Q10,"TR.PriceClose")-_xll.TR(Q10,"TR.PriceClose","SDate:"&amp;TEXT(WORKDAY(TODAY(),-5),"yyyy-mm-dd")))/_xll.TR(Q10,"TR.PriceClose","SDate:"&amp;TEXT(WORKDAY(TODAY(),-5),"yyyy-mm-dd"))*100</f>
        <v>0.39393383036828744</v>
      </c>
      <c r="I10" s="4" cm="1">
        <f t="array" aca="1" ref="I10" ca="1">((_xll.TR(Q10,"TR.PriceClose")-_xll.TR(Q10,"TR.PriceClose","SDate:"&amp;TEXT(WORKDAY(TODAY(),-14),"yyyy-mm-dd")))/_xll.TR(Q10,"TR.PriceClose","SDate:"&amp;TEXT(WORKDAY(TODAY(),-14),"yyyy-mm-dd")))*100</f>
        <v>-0.4371073285669112</v>
      </c>
      <c r="J10" s="4" cm="1">
        <f t="array" aca="1" ref="J10" ca="1">IFERROR(((_xll.TR(Q10,"TR.PriceClose")-_xll.TR(Q10,"TR.PriceClose","SDate:"&amp;EDATE(TODAY(),-3)))/_xll.TR(Q10,"TR.PriceClose","SDate:"&amp;EDATE(TODAY(),-3)))*100,"-")</f>
        <v>-2.3665894226939699</v>
      </c>
      <c r="K10" s="53" cm="1">
        <f t="array" aca="1" ref="K10" ca="1">IFERROR(((_xll.TR(Q10,"TR.PriceClose")-_xll.TR(Q10,"TR.PriceClose","SDate:"&amp;EDATE(TODAY(),-12)))/_xll.TR(Q10,"TR.PriceClose","SDate:"&amp;EDATE(TODAY(),-12)))*100,"-")</f>
        <v>15.805344927022484</v>
      </c>
      <c r="L10" s="52" cm="1">
        <f t="array" aca="1" ref="L10" ca="1">_xll.TR(T10,"TR.BIDPRICE","SDate:"&amp;TEXT(WORKDAY(TODAY(),-5),"yyyy-mm-dd"))</f>
        <v>17.424600000000002</v>
      </c>
      <c r="M10" s="4" cm="1">
        <f t="array" aca="1" ref="M10" ca="1">_xll.TR(T10,"TR.MIDPRICE","SDate:"&amp;TEXT(WORKDAY(TODAY(),-14),"yyyy-mm-dd"))</f>
        <v>17.515350000000002</v>
      </c>
      <c r="N10" s="4" cm="1">
        <f t="array" ref="N10">-_xll.TR(T10,"PCTCHG_3M")</f>
        <v>-0.31</v>
      </c>
      <c r="O10" s="53" cm="1">
        <f t="array" ref="O10">-_xll.TR(T10,"PCTCHG_YTD")</f>
        <v>3.18</v>
      </c>
      <c r="P10" t="s">
        <v>92</v>
      </c>
      <c r="Q10" t="s">
        <v>97</v>
      </c>
      <c r="R10" cm="1">
        <f t="array" ref="R10">_xll.TR(Q10,"TR.PriceClose")</f>
        <v>66383.259999999995</v>
      </c>
      <c r="S10" cm="1">
        <f t="array" aca="1" ref="S10" ca="1">_xll.TR(Q10,"TR.PriceClose","SDate:"&amp;TEXT(WORKDAY(TODAY(),-5),"yyyy-mm-dd"))</f>
        <v>66122.78</v>
      </c>
      <c r="T10" t="s">
        <v>136</v>
      </c>
      <c r="U10" s="9" cm="1">
        <f t="array" ref="U10">_xll.TR(T10,"BID")</f>
        <v>17.431699999999999</v>
      </c>
      <c r="V10" s="9" cm="1">
        <f t="array" aca="1" ref="V10" ca="1">_xll.TR(T10,"CF_CLOSE","SDate:"&amp;TEXT(WORKDAY(TODAY(),-5),"yyyy-mm-dd"))</f>
        <v>17.477</v>
      </c>
    </row>
    <row r="11" spans="1:25" ht="14" customHeight="1">
      <c r="A11" s="5" t="s">
        <v>15</v>
      </c>
      <c r="B11" s="46"/>
      <c r="C11" s="45">
        <f ca="1">'CDS from CapitalIQ'!C6</f>
        <v>40.570599999999999</v>
      </c>
      <c r="D11" s="28">
        <f ca="1">'CDS from CapitalIQ'!T6</f>
        <v>-0.62460000000000093</v>
      </c>
      <c r="E11" s="28">
        <f ca="1">'CDS from CapitalIQ'!V6</f>
        <v>-1.1794000000000011</v>
      </c>
      <c r="F11" s="28">
        <f ca="1">'CDS from CapitalIQ'!W6</f>
        <v>1.9358000000000004</v>
      </c>
      <c r="G11" s="36">
        <f ca="1">'CDS from CapitalIQ'!X6</f>
        <v>0.323599999999999</v>
      </c>
      <c r="H11" s="37" cm="1">
        <f t="array" aca="1" ref="H11" ca="1">(_xll.TR(Q11,"TR.PriceClose")-_xll.TR(Q11,"TR.PriceClose","SDate:"&amp;TEXT(WORKDAY(TODAY(),-5),"yyyy-mm-dd")))/_xll.TR(Q11,"TR.PriceClose","SDate:"&amp;TEXT(WORKDAY(TODAY(),-5),"yyyy-mm-dd"))*100</f>
        <v>-0.42051353704281158</v>
      </c>
      <c r="I11" s="4" cm="1">
        <f t="array" aca="1" ref="I11" ca="1">((_xll.TR(Q11,"TR.PriceClose")-_xll.TR(Q11,"TR.PriceClose","SDate:"&amp;TEXT(WORKDAY(TODAY(),-14),"yyyy-mm-dd")))/_xll.TR(Q11,"TR.PriceClose","SDate:"&amp;TEXT(WORKDAY(TODAY(),-14),"yyyy-mm-dd")))*100</f>
        <v>-1.224304856840166</v>
      </c>
      <c r="J11" s="4" cm="1">
        <f t="array" aca="1" ref="J11" ca="1">IFERROR(((_xll.TR(Q11,"TR.PriceClose")-_xll.TR(Q11,"TR.PriceClose","SDate:"&amp;EDATE(TODAY(),-3)))/_xll.TR(Q11,"TR.PriceClose","SDate:"&amp;EDATE(TODAY(),-3)))*100,"-")</f>
        <v>3.3185529230224482</v>
      </c>
      <c r="K11" s="53" cm="1">
        <f t="array" aca="1" ref="K11" ca="1">IFERROR(((_xll.TR(Q11,"TR.PriceClose")-_xll.TR(Q11,"TR.PriceClose","SDate:"&amp;EDATE(TODAY(),-12)))/_xll.TR(Q11,"TR.PriceClose","SDate:"&amp;EDATE(TODAY(),-12)))*100,"-")</f>
        <v>16.01811966240075</v>
      </c>
      <c r="L11" s="52">
        <v>0</v>
      </c>
      <c r="M11" s="17">
        <v>0</v>
      </c>
      <c r="N11" s="17">
        <v>0</v>
      </c>
      <c r="O11" s="59">
        <v>0</v>
      </c>
      <c r="P11" t="s">
        <v>89</v>
      </c>
      <c r="Q11" t="s">
        <v>98</v>
      </c>
      <c r="R11" cm="1">
        <f t="array" ref="R11">_xll.TR(Q11,"TR.PriceClose")</f>
        <v>7411.98</v>
      </c>
      <c r="S11" cm="1">
        <f t="array" aca="1" ref="S11" ca="1">_xll.TR(Q11,"TR.PriceClose","SDate:"&amp;TEXT(WORKDAY(TODAY(),-5),"yyyy-mm-dd"))</f>
        <v>7443.28</v>
      </c>
      <c r="T11" t="s">
        <v>137</v>
      </c>
      <c r="U11" s="9"/>
      <c r="V11" s="9"/>
    </row>
    <row r="12" spans="1:25" ht="14" customHeight="1">
      <c r="A12" s="66" t="s">
        <v>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U12" s="9"/>
      <c r="V12" s="9"/>
    </row>
    <row r="13" spans="1:25" ht="14" customHeight="1">
      <c r="A13" s="10" t="s">
        <v>17</v>
      </c>
      <c r="B13" s="49"/>
      <c r="C13" s="48">
        <f ca="1">'CDS from CapitalIQ'!C8</f>
        <v>11.182399999999999</v>
      </c>
      <c r="D13" s="26">
        <f ca="1">'CDS from CapitalIQ'!T8</f>
        <v>0.12260000000000026</v>
      </c>
      <c r="E13" s="26">
        <f ca="1">'CDS from CapitalIQ'!V8</f>
        <v>0.18259999999999899</v>
      </c>
      <c r="F13" s="26">
        <f ca="1">'CDS from CapitalIQ'!W8</f>
        <v>-2.0051000000000005</v>
      </c>
      <c r="G13" s="39">
        <f ca="1">'CDS from CapitalIQ'!X8</f>
        <v>-3.8176000000000005</v>
      </c>
      <c r="H13" s="38" cm="1">
        <f t="array" aca="1" ref="H13" ca="1">(_xll.TR(Q13,"TR.PriceClose")-_xll.TR(Q13,"TR.PriceClose","SDate:"&amp;TEXT(WORKDAY(TODAY(),-5),"yyyy-mm-dd")))/_xll.TR(Q13,"TR.PriceClose","SDate:"&amp;TEXT(WORKDAY(TODAY(),-5),"yyyy-mm-dd"))*100</f>
        <v>0.92358679339669714</v>
      </c>
      <c r="I13" s="27" cm="1">
        <f t="array" aca="1" ref="I13" ca="1">((_xll.TR(Q13,"TR.PriceClose")-_xll.TR(Q13,"TR.PriceClose","SDate:"&amp;TEXT(WORKDAY(TODAY(),-14),"yyyy-mm-dd")))/_xll.TR(Q13,"TR.PriceClose","SDate:"&amp;TEXT(WORKDAY(TODAY(),-14),"yyyy-mm-dd")))*100</f>
        <v>-0.49859514844571562</v>
      </c>
      <c r="J13" s="11" cm="1">
        <f t="array" aca="1" ref="J13" ca="1">(_xll.TR(Q13,"TRDPRC_1")-_xll.TR(Q13,"TR.PriceClose","SDate:"&amp;TEXT(WORKDAY(TODAY(),-65),"yyyy-mm-dd")))/_xll.TR(Q13,"TR.PriceClose","SDate:"&amp;TEXT(WORKDAY(TODAY(),-65),"yyyy-mm-dd"))*100</f>
        <v>10.245377591402841</v>
      </c>
      <c r="K13" s="55" cm="1">
        <f t="array" aca="1" ref="K13" ca="1">(_xll.TR(Q13,"TRDPRC_1")-_xll.TR(Q13,"TR.PriceClose","SDate:"&amp;TEXT(WORKDAY(TODAY(),-260),"yyyy-mm-dd")))/_xll.TR(Q13,"TR.PriceClose","SDate:"&amp;TEXT(WORKDAY(TODAY(),-260),"yyyy-mm-dd"))*100</f>
        <v>39.381170581693503</v>
      </c>
      <c r="L13" s="54" cm="1">
        <f t="array" aca="1" ref="L13" ca="1">_xll.TR(T13,"TR.MIDPRICE","SDate:"&amp;TEXT(WORKDAY(TODAY(),-5),"yyyy-mm-dd"))</f>
        <v>1.1415</v>
      </c>
      <c r="M13" s="11" cm="1">
        <f t="array" aca="1" ref="M13" ca="1">_xll.TR(T13,"TR.MIDPRICE","SDate:"&amp;TEXT(WORKDAY(TODAY(),-14),"yyyy-mm-dd"))</f>
        <v>1.1412500000000001</v>
      </c>
      <c r="N13" s="11" cm="1">
        <f t="array" ref="N13">-_xll.TR(T13,"PCTCHG_3M")</f>
        <v>2.89</v>
      </c>
      <c r="O13" s="60" cm="1">
        <f t="array" aca="1" ref="O13" ca="1">_xll.TR(T13,"TR.MIDPRICE","SDate:"&amp;TEXT(EDATE(TODAY(),-12),"yyyy-mm-dd"))</f>
        <v>1.1741999999999999</v>
      </c>
      <c r="P13" t="s">
        <v>55</v>
      </c>
      <c r="Q13" t="s">
        <v>99</v>
      </c>
      <c r="R13" cm="1">
        <f t="array" ref="R13">_xll.TR(Q13,"TR.PriceClose")</f>
        <v>6455.88</v>
      </c>
      <c r="S13" cm="1">
        <f t="array" aca="1" ref="S13" ca="1">_xll.TR(Q13,"TR.PriceClose","SDate:"&amp;TEXT(WORKDAY(TODAY(),-5),"yyyy-mm-dd"))</f>
        <v>6396.8</v>
      </c>
      <c r="T13" t="s">
        <v>138</v>
      </c>
      <c r="U13" s="9" cm="1">
        <f t="array" ref="U13">_xll.TR(T13,"BID")</f>
        <v>1.1380999999999999</v>
      </c>
      <c r="V13" s="9" cm="1">
        <f t="array" aca="1" ref="V13" ca="1">_xll.TR(T13,"CF_CLOSE","SDate:"&amp;TEXT(WORKDAY(TODAY(),-5),"yyyy-mm-dd"))</f>
        <v>1.1367</v>
      </c>
    </row>
    <row r="14" spans="1:25" ht="14" customHeight="1">
      <c r="A14" s="12" t="s">
        <v>18</v>
      </c>
      <c r="B14" s="50"/>
      <c r="C14" s="48">
        <f ca="1">'CDS from CapitalIQ'!C9</f>
        <v>17.552399999999999</v>
      </c>
      <c r="D14" s="26">
        <f ca="1">'CDS from CapitalIQ'!T9</f>
        <v>0.17739999999999867</v>
      </c>
      <c r="E14" s="26">
        <f ca="1">'CDS from CapitalIQ'!V9</f>
        <v>0.21909999999999741</v>
      </c>
      <c r="F14" s="26">
        <f ca="1">'CDS from CapitalIQ'!W9</f>
        <v>-0.38510000000000133</v>
      </c>
      <c r="G14" s="39">
        <f ca="1">'CDS from CapitalIQ'!X9</f>
        <v>-5.1143000000000001</v>
      </c>
      <c r="H14" s="38" cm="1">
        <f t="array" aca="1" ref="H14" ca="1">(_xll.TR(Q14,"TR.PriceClose")-_xll.TR(Q14,"TR.PriceClose","SDate:"&amp;TEXT(WORKDAY(TODAY(),-5),"yyyy-mm-dd")))/_xll.TR(Q14,"TR.PriceClose","SDate:"&amp;TEXT(WORKDAY(TODAY(),-5),"yyyy-mm-dd"))*100</f>
        <v>2.0646867552862869</v>
      </c>
      <c r="I14" s="27" cm="1">
        <f t="array" aca="1" ref="I14" ca="1">((_xll.TR(Q14,"TR.PriceClose")-_xll.TR(Q14,"TR.PriceClose","SDate:"&amp;TEXT(WORKDAY(TODAY(),-14),"yyyy-mm-dd")))/_xll.TR(Q14,"TR.PriceClose","SDate:"&amp;TEXT(WORKDAY(TODAY(),-14),"yyyy-mm-dd")))*100</f>
        <v>0.18080402764990494</v>
      </c>
      <c r="J14" s="11" cm="1">
        <f t="array" aca="1" ref="J14" ca="1">(_xll.TR(Q14,"TRDPRC_1")-_xll.TR(Q14,"TR.PriceClose","SDate:"&amp;TEXT(WORKDAY(TODAY(),-65),"yyyy-mm-dd")))/_xll.TR(Q14,"TR.PriceClose","SDate:"&amp;TEXT(WORKDAY(TODAY(),-65),"yyyy-mm-dd"))*100</f>
        <v>6.5712007678102298</v>
      </c>
      <c r="K14" s="55" cm="1">
        <f t="array" aca="1" ref="K14" ca="1">(_xll.TR(Q14,"TRDPRC_1")-_xll.TR(Q14,"TR.PriceClose","SDate:"&amp;TEXT(WORKDAY(TODAY(),-260),"yyyy-mm-dd")))/_xll.TR(Q14,"TR.PriceClose","SDate:"&amp;TEXT(WORKDAY(TODAY(),-260),"yyyy-mm-dd"))*100</f>
        <v>24.23293253114851</v>
      </c>
      <c r="L14" s="54" cm="1">
        <f t="array" aca="1" ref="L14" ca="1">_xll.TR(T14,"TR.MIDPRICE","SDate:"&amp;TEXT(WORKDAY(TODAY(),-5),"yyyy-mm-dd"))</f>
        <v>1.1415</v>
      </c>
      <c r="M14" s="11" cm="1">
        <f t="array" aca="1" ref="M14" ca="1">_xll.TR(T14,"TR.MIDPRICE","SDate:"&amp;TEXT(WORKDAY(TODAY(),-14),"yyyy-mm-dd"))</f>
        <v>1.1412500000000001</v>
      </c>
      <c r="N14" s="11" cm="1">
        <f t="array" ref="N14">-_xll.TR(T14,"PCTCHG_3M")</f>
        <v>2.89</v>
      </c>
      <c r="O14" s="60" cm="1">
        <f t="array" aca="1" ref="O14" ca="1">_xll.TR(T14,"TR.MIDPRICE","SDate:"&amp;TEXT(EDATE(TODAY(),-12),"yyyy-mm-dd"))</f>
        <v>1.1741999999999999</v>
      </c>
      <c r="P14" t="s">
        <v>56</v>
      </c>
      <c r="Q14" t="s">
        <v>100</v>
      </c>
      <c r="R14" cm="1">
        <f t="array" ref="R14">_xll.TR(Q14,"TR.PriceClose")</f>
        <v>5734.78</v>
      </c>
      <c r="S14" cm="1">
        <f t="array" aca="1" ref="S14" ca="1">_xll.TR(Q14,"TR.PriceClose","SDate:"&amp;TEXT(WORKDAY(TODAY(),-5),"yyyy-mm-dd"))</f>
        <v>5618.77</v>
      </c>
      <c r="T14" t="s">
        <v>138</v>
      </c>
      <c r="U14" s="9" cm="1">
        <f t="array" ref="U14">_xll.TR(T14,"BID")</f>
        <v>1.1380999999999999</v>
      </c>
      <c r="V14" s="9" cm="1">
        <f t="array" aca="1" ref="V14" ca="1">_xll.TR(T14,"CF_CLOSE","SDate:"&amp;TEXT(WORKDAY(TODAY(),-5),"yyyy-mm-dd"))</f>
        <v>1.1367</v>
      </c>
    </row>
    <row r="15" spans="1:25" ht="14" customHeight="1">
      <c r="A15" s="10" t="s">
        <v>19</v>
      </c>
      <c r="B15" s="49"/>
      <c r="C15" s="48">
        <f ca="1">'CDS from CapitalIQ'!C10</f>
        <v>10.833299999999999</v>
      </c>
      <c r="D15" s="26">
        <f ca="1">'CDS from CapitalIQ'!T10</f>
        <v>-0.33340000000000103</v>
      </c>
      <c r="E15" s="26">
        <f ca="1">'CDS from CapitalIQ'!V10</f>
        <v>-0.54210000000000136</v>
      </c>
      <c r="F15" s="26">
        <f ca="1">'CDS from CapitalIQ'!W10</f>
        <v>-2</v>
      </c>
      <c r="G15" s="39">
        <f ca="1">'CDS from CapitalIQ'!X10</f>
        <v>-4.661900000000001</v>
      </c>
      <c r="H15" s="38" cm="1">
        <f t="array" aca="1" ref="H15" ca="1">(_xll.TR(Q15,"TR.PriceClose")-_xll.TR(Q15,"TR.PriceClose","SDate:"&amp;TEXT(WORKDAY(TODAY(),-5),"yyyy-mm-dd")))/_xll.TR(Q15,"TR.PriceClose","SDate:"&amp;TEXT(WORKDAY(TODAY(),-5),"yyyy-mm-dd"))*100</f>
        <v>0.32230714965277674</v>
      </c>
      <c r="I15" s="27" cm="1">
        <f t="array" aca="1" ref="I15" ca="1">((_xll.TR(Q15,"TR.PriceClose")-_xll.TR(Q15,"TR.PriceClose","SDate:"&amp;TEXT(WORKDAY(TODAY(),-14),"yyyy-mm-dd")))/_xll.TR(Q15,"TR.PriceClose","SDate:"&amp;TEXT(WORKDAY(TODAY(),-14),"yyyy-mm-dd")))*100</f>
        <v>1.0317677577464006</v>
      </c>
      <c r="J15" s="11" cm="1">
        <f t="array" aca="1" ref="J15" ca="1">(_xll.TR(Q15,"TRDPRC_1")-_xll.TR(Q15,"TR.PriceClose","SDate:"&amp;TEXT(WORKDAY(TODAY(),-65),"yyyy-mm-dd")))/_xll.TR(Q15,"TR.PriceClose","SDate:"&amp;TEXT(WORKDAY(TODAY(),-65),"yyyy-mm-dd"))*100</f>
        <v>-1.0188985893776128</v>
      </c>
      <c r="K15" s="55" cm="1">
        <f t="array" aca="1" ref="K15" ca="1">(_xll.TR(Q15,"TRDPRC_1")-_xll.TR(Q15,"TR.PriceClose","SDate:"&amp;TEXT(WORKDAY(TODAY(),-260),"yyyy-mm-dd")))/_xll.TR(Q15,"TR.PriceClose","SDate:"&amp;TEXT(WORKDAY(TODAY(),-260),"yyyy-mm-dd"))*100</f>
        <v>25.571786446302507</v>
      </c>
      <c r="L15" s="54" cm="1">
        <f t="array" aca="1" ref="L15" ca="1">_xll.TR(T15,"TR.MIDPRICE","SDate:"&amp;TEXT(WORKDAY(TODAY(),-5),"yyyy-mm-dd"))</f>
        <v>1.1415</v>
      </c>
      <c r="M15" s="11" cm="1">
        <f t="array" aca="1" ref="M15" ca="1">_xll.TR(T15,"TR.MIDPRICE","SDate:"&amp;TEXT(WORKDAY(TODAY(),-14),"yyyy-mm-dd"))</f>
        <v>1.1412500000000001</v>
      </c>
      <c r="N15" s="11" cm="1">
        <f t="array" ref="N15">-_xll.TR(T15,"PCTCHG_3M")</f>
        <v>2.89</v>
      </c>
      <c r="O15" s="60" cm="1">
        <f t="array" aca="1" ref="O15" ca="1">_xll.TR(T15,"TR.MIDPRICE","SDate:"&amp;TEXT(EDATE(TODAY(),-12),"yyyy-mm-dd"))</f>
        <v>1.1741999999999999</v>
      </c>
      <c r="P15" t="s">
        <v>57</v>
      </c>
      <c r="Q15" t="s">
        <v>101</v>
      </c>
      <c r="R15" cm="1">
        <f t="array" ref="R15">_xll.TR(Q15,"TR.PriceClose")</f>
        <v>6200.36</v>
      </c>
      <c r="S15" cm="1">
        <f t="array" aca="1" ref="S15" ca="1">_xll.TR(Q15,"TR.PriceClose","SDate:"&amp;TEXT(WORKDAY(TODAY(),-5),"yyyy-mm-dd"))</f>
        <v>6180.44</v>
      </c>
      <c r="T15" t="s">
        <v>138</v>
      </c>
      <c r="U15" s="9" cm="1">
        <f t="array" ref="U15">_xll.TR(T15,"BID")</f>
        <v>1.1380999999999999</v>
      </c>
      <c r="V15" s="9" cm="1">
        <f t="array" aca="1" ref="V15" ca="1">_xll.TR(T15,"CF_CLOSE","SDate:"&amp;TEXT(WORKDAY(TODAY(),-5),"yyyy-mm-dd"))</f>
        <v>1.1367</v>
      </c>
    </row>
    <row r="16" spans="1:25" ht="14" customHeight="1">
      <c r="A16" t="s">
        <v>20</v>
      </c>
      <c r="B16" s="50"/>
      <c r="C16" s="48">
        <f ca="1">'CDS from CapitalIQ'!C11</f>
        <v>31.7563</v>
      </c>
      <c r="D16" s="26">
        <f ca="1">'CDS from CapitalIQ'!T11</f>
        <v>0.34629999999999939</v>
      </c>
      <c r="E16" s="26">
        <f ca="1">'CDS from CapitalIQ'!V11</f>
        <v>0.89819999999999922</v>
      </c>
      <c r="F16" s="26">
        <f ca="1">'CDS from CapitalIQ'!W11</f>
        <v>3.9085999999999999</v>
      </c>
      <c r="G16" s="39">
        <f ca="1">'CDS from CapitalIQ'!X11</f>
        <v>-0.42180000000000106</v>
      </c>
      <c r="H16" s="38" cm="1">
        <f t="array" aca="1" ref="H16" ca="1">(_xll.TR(Q16,"TR.PriceClose")-_xll.TR(Q16,"TR.PriceClose","SDate:"&amp;TEXT(WORKDAY(TODAY(),-5),"yyyy-mm-dd")))/_xll.TR(Q16,"TR.PriceClose","SDate:"&amp;TEXT(WORKDAY(TODAY(),-5),"yyyy-mm-dd"))*100</f>
        <v>0.38572632735059936</v>
      </c>
      <c r="I16" s="27" cm="1">
        <f t="array" aca="1" ref="I16" ca="1">((_xll.TR(Q16,"TR.PriceClose")-_xll.TR(Q16,"TR.PriceClose","SDate:"&amp;TEXT(WORKDAY(TODAY(),-14),"yyyy-mm-dd")))/_xll.TR(Q16,"TR.PriceClose","SDate:"&amp;TEXT(WORKDAY(TODAY(),-14),"yyyy-mm-dd")))*100</f>
        <v>-0.75815766265539064</v>
      </c>
      <c r="J16" s="11" cm="1">
        <f t="array" aca="1" ref="J16" ca="1">(_xll.TR(Q16,"TRDPRC_1")-_xll.TR(Q16,"TR.PriceClose","SDate:"&amp;TEXT(WORKDAY(TODAY(),-65),"yyyy-mm-dd")))/_xll.TR(Q16,"TR.PriceClose","SDate:"&amp;TEXT(WORKDAY(TODAY(),-65),"yyyy-mm-dd"))*100</f>
        <v>3.2441979287440725</v>
      </c>
      <c r="K16" s="55" cm="1">
        <f t="array" aca="1" ref="K16" ca="1">(_xll.TR(Q16,"TRDPRC_1")-_xll.TR(Q16,"TR.PriceClose","SDate:"&amp;TEXT(WORKDAY(TODAY(),-260),"yyyy-mm-dd")))/_xll.TR(Q16,"TR.PriceClose","SDate:"&amp;TEXT(WORKDAY(TODAY(),-260),"yyyy-mm-dd"))*100</f>
        <v>7.75784270492559</v>
      </c>
      <c r="L16" s="54" cm="1">
        <f t="array" aca="1" ref="L16" ca="1">_xll.TR(T16,"TR.MIDPRICE","SDate:"&amp;TEXT(WORKDAY(TODAY(),-5),"yyyy-mm-dd"))</f>
        <v>1.1415</v>
      </c>
      <c r="M16" s="11" cm="1">
        <f t="array" aca="1" ref="M16" ca="1">_xll.TR(T16,"TR.MIDPRICE","SDate:"&amp;TEXT(WORKDAY(TODAY(),-14),"yyyy-mm-dd"))</f>
        <v>1.1412500000000001</v>
      </c>
      <c r="N16" s="11" cm="1">
        <f t="array" ref="N16">-_xll.TR(T16,"PCTCHG_3M")</f>
        <v>2.89</v>
      </c>
      <c r="O16" s="60" cm="1">
        <f t="array" aca="1" ref="O16" ca="1">_xll.TR(T16,"TR.MIDPRICE","SDate:"&amp;TEXT(EDATE(TODAY(),-12),"yyyy-mm-dd"))</f>
        <v>1.1741999999999999</v>
      </c>
      <c r="P16" t="s">
        <v>58</v>
      </c>
      <c r="Q16" t="s">
        <v>102</v>
      </c>
      <c r="R16" cm="1">
        <f t="array" ref="R16">_xll.TR(Q16,"TR.PriceClose")</f>
        <v>8372.2800000000007</v>
      </c>
      <c r="S16" cm="1">
        <f t="array" aca="1" ref="S16" ca="1">_xll.TR(Q16,"TR.PriceClose","SDate:"&amp;TEXT(WORKDAY(TODAY(),-5),"yyyy-mm-dd"))</f>
        <v>8340.11</v>
      </c>
      <c r="T16" t="s">
        <v>138</v>
      </c>
      <c r="U16" s="9" cm="1">
        <f t="array" ref="U16">_xll.TR(T16,"BID")</f>
        <v>1.1380999999999999</v>
      </c>
      <c r="V16" s="9" cm="1">
        <f t="array" aca="1" ref="V16" ca="1">_xll.TR(T16,"CF_CLOSE","SDate:"&amp;TEXT(WORKDAY(TODAY(),-5),"yyyy-mm-dd"))</f>
        <v>1.1367</v>
      </c>
    </row>
    <row r="17" spans="1:22" ht="14" customHeight="1">
      <c r="A17" s="10" t="s">
        <v>21</v>
      </c>
      <c r="B17" s="49"/>
      <c r="C17" s="48">
        <f ca="1">'CDS from CapitalIQ'!C12</f>
        <v>7.0260999999999996</v>
      </c>
      <c r="D17" s="26">
        <f ca="1">'CDS from CapitalIQ'!T12</f>
        <v>4.8999999999992383E-3</v>
      </c>
      <c r="E17" s="26">
        <f ca="1">'CDS from CapitalIQ'!V12</f>
        <v>2.5599999999999845E-2</v>
      </c>
      <c r="F17" s="26">
        <f ca="1">'CDS from CapitalIQ'!W12</f>
        <v>-2.0403000000000002</v>
      </c>
      <c r="G17" s="39">
        <f ca="1">'CDS from CapitalIQ'!X12</f>
        <v>-1.3071999999999999</v>
      </c>
      <c r="H17" s="38" cm="1">
        <f t="array" aca="1" ref="H17" ca="1">(_xll.TR(Q17,"TR.PriceClose")-_xll.TR(Q17,"TR.PriceClose","SDate:"&amp;TEXT(WORKDAY(TODAY(),-5),"yyyy-mm-dd")))/_xll.TR(Q17,"TR.PriceClose","SDate:"&amp;TEXT(WORKDAY(TODAY(),-5),"yyyy-mm-dd"))*100</f>
        <v>1.0154672513723211</v>
      </c>
      <c r="I17" s="27" cm="1">
        <f t="array" aca="1" ref="I17" ca="1">((_xll.TR(Q17,"TR.PriceClose")-_xll.TR(Q17,"TR.PriceClose","SDate:"&amp;TEXT(WORKDAY(TODAY(),-14),"yyyy-mm-dd")))/_xll.TR(Q17,"TR.PriceClose","SDate:"&amp;TEXT(WORKDAY(TODAY(),-14),"yyyy-mm-dd")))*100</f>
        <v>-1.4382344567597021</v>
      </c>
      <c r="J17" s="11" cm="1">
        <f t="array" aca="1" ref="J17" ca="1">(_xll.TR(Q17,"TRDPRC_1")-_xll.TR(Q17,"TR.PriceClose","SDate:"&amp;TEXT(WORKDAY(TODAY(),-65),"yyyy-mm-dd")))/_xll.TR(Q17,"TR.PriceClose","SDate:"&amp;TEXT(WORKDAY(TODAY(),-65),"yyyy-mm-dd"))*100</f>
        <v>5.3044549532398282</v>
      </c>
      <c r="K17" s="55" cm="1">
        <f t="array" aca="1" ref="K17" ca="1">(_xll.TR(Q17,"TRDPRC_1")-_xll.TR(Q17,"TR.PriceClose","SDate:"&amp;TEXT(WORKDAY(TODAY(),-260),"yyyy-mm-dd")))/_xll.TR(Q17,"TR.PriceClose","SDate:"&amp;TEXT(WORKDAY(TODAY(),-260),"yyyy-mm-dd"))*100</f>
        <v>5.8016233381559488</v>
      </c>
      <c r="L17" s="54" cm="1">
        <f t="array" aca="1" ref="L17" ca="1">_xll.TR(T17,"TR.MIDPRICE","SDate:"&amp;TEXT(WORKDAY(TODAY(),-5),"yyyy-mm-dd"))</f>
        <v>1.1415</v>
      </c>
      <c r="M17" s="11" cm="1">
        <f t="array" aca="1" ref="M17" ca="1">_xll.TR(T17,"TR.MIDPRICE","SDate:"&amp;TEXT(WORKDAY(TODAY(),-14),"yyyy-mm-dd"))</f>
        <v>1.1412500000000001</v>
      </c>
      <c r="N17" s="11" cm="1">
        <f t="array" ref="N17">-_xll.TR(T17,"PCTCHG_3M")</f>
        <v>2.89</v>
      </c>
      <c r="O17" s="60" cm="1">
        <f t="array" aca="1" ref="O17" ca="1">_xll.TR(T17,"TR.MIDPRICE","SDate:"&amp;TEXT(EDATE(TODAY(),-12),"yyyy-mm-dd"))</f>
        <v>1.1741999999999999</v>
      </c>
      <c r="P17" t="s">
        <v>59</v>
      </c>
      <c r="Q17" t="s">
        <v>103</v>
      </c>
      <c r="R17" cm="1">
        <f t="array" ref="R17">_xll.TR(Q17,"TR.PriceClose")</f>
        <v>25099</v>
      </c>
      <c r="S17" cm="1">
        <f t="array" aca="1" ref="S17" ca="1">_xll.TR(Q17,"TR.PriceClose","SDate:"&amp;TEXT(WORKDAY(TODAY(),-5),"yyyy-mm-dd"))</f>
        <v>24846.69</v>
      </c>
      <c r="T17" t="s">
        <v>138</v>
      </c>
      <c r="U17" s="9" cm="1">
        <f t="array" ref="U17">_xll.TR(T17,"BID")</f>
        <v>1.1380999999999999</v>
      </c>
      <c r="V17" s="9" cm="1">
        <f t="array" aca="1" ref="V17" ca="1">_xll.TR(T17,"CF_CLOSE","SDate:"&amp;TEXT(WORKDAY(TODAY(),-5),"yyyy-mm-dd"))</f>
        <v>1.1367</v>
      </c>
    </row>
    <row r="18" spans="1:22" ht="14" customHeight="1">
      <c r="A18" s="12" t="s">
        <v>20</v>
      </c>
      <c r="B18" s="50"/>
      <c r="C18" s="48">
        <f ca="1">'CDS from CapitalIQ'!C13</f>
        <v>29.833300000000001</v>
      </c>
      <c r="D18" s="26">
        <f ca="1">'CDS from CapitalIQ'!T13</f>
        <v>0.33330000000000126</v>
      </c>
      <c r="E18" s="26">
        <f ca="1">'CDS from CapitalIQ'!V13</f>
        <v>0.65060000000000073</v>
      </c>
      <c r="F18" s="26">
        <f ca="1">'CDS from CapitalIQ'!W13</f>
        <v>-1.3299999999999983</v>
      </c>
      <c r="G18" s="39">
        <f ca="1">'CDS from CapitalIQ'!X13</f>
        <v>-12.572499999999998</v>
      </c>
      <c r="H18" s="38" cm="1">
        <f t="array" aca="1" ref="H18" ca="1">(_xll.TR(Q18,"TR.PriceClose")-_xll.TR(Q18,"TR.PriceClose","SDate:"&amp;TEXT(WORKDAY(TODAY(),-5),"yyyy-mm-dd")))/_xll.TR(Q18,"TR.PriceClose","SDate:"&amp;TEXT(WORKDAY(TODAY(),-5),"yyyy-mm-dd"))*100</f>
        <v>2.7727549175275947</v>
      </c>
      <c r="I18" s="27" cm="1">
        <f t="array" aca="1" ref="I18" ca="1">((_xll.TR(Q18,"TR.PriceClose")-_xll.TR(Q18,"TR.PriceClose","SDate:"&amp;TEXT(WORKDAY(TODAY(),-14),"yyyy-mm-dd")))/_xll.TR(Q18,"TR.PriceClose","SDate:"&amp;TEXT(WORKDAY(TODAY(),-14),"yyyy-mm-dd")))*100</f>
        <v>-0.95004307648730479</v>
      </c>
      <c r="J18" s="11" cm="1">
        <f t="array" aca="1" ref="J18" ca="1">(_xll.TR(Q18,"TRDPRC_1")-_xll.TR(Q18,"TR.PriceClose","SDate:"&amp;TEXT(WORKDAY(TODAY(),-65),"yyyy-mm-dd")))/_xll.TR(Q18,"TR.PriceClose","SDate:"&amp;TEXT(WORKDAY(TODAY(),-65),"yyyy-mm-dd"))*100</f>
        <v>13.31209159151051</v>
      </c>
      <c r="K18" s="55" cm="1">
        <f t="array" aca="1" ref="K18" ca="1">(_xll.TR(Q18,"TRDPRC_1")-_xll.TR(Q18,"TR.PriceClose","SDate:"&amp;TEXT(WORKDAY(TODAY(),-260),"yyyy-mm-dd")))/_xll.TR(Q18,"TR.PriceClose","SDate:"&amp;TEXT(WORKDAY(TODAY(),-260),"yyyy-mm-dd"))*100</f>
        <v>29.112054642791229</v>
      </c>
      <c r="L18" s="54" cm="1">
        <f t="array" aca="1" ref="L18" ca="1">_xll.TR(T18,"TR.MIDPRICE","SDate:"&amp;TEXT(WORKDAY(TODAY(),-5),"yyyy-mm-dd"))</f>
        <v>1.1415</v>
      </c>
      <c r="M18" s="11" cm="1">
        <f t="array" aca="1" ref="M18" ca="1">_xll.TR(T18,"TR.MIDPRICE","SDate:"&amp;TEXT(WORKDAY(TODAY(),-14),"yyyy-mm-dd"))</f>
        <v>1.1412500000000001</v>
      </c>
      <c r="N18" s="11" cm="1">
        <f t="array" ref="N18">-_xll.TR(T18,"PCTCHG_3M")</f>
        <v>2.89</v>
      </c>
      <c r="O18" s="60" cm="1">
        <f t="array" aca="1" ref="O18" ca="1">_xll.TR(T18,"TR.MIDPRICE","SDate:"&amp;TEXT(EDATE(TODAY(),-12),"yyyy-mm-dd"))</f>
        <v>1.1741999999999999</v>
      </c>
      <c r="P18" t="s">
        <v>60</v>
      </c>
      <c r="Q18" t="s">
        <v>104</v>
      </c>
      <c r="R18" cm="1">
        <f t="array" ref="R18">_xll.TR(Q18,"TR.PriceClose")</f>
        <v>2517.84</v>
      </c>
      <c r="S18" cm="1">
        <f t="array" aca="1" ref="S18" ca="1">_xll.TR(Q18,"TR.PriceClose","SDate:"&amp;TEXT(WORKDAY(TODAY(),-5),"yyyy-mm-dd"))</f>
        <v>2449.91</v>
      </c>
      <c r="T18" t="s">
        <v>138</v>
      </c>
      <c r="U18" s="9" cm="1">
        <f t="array" ref="U18">_xll.TR(T18,"BID")</f>
        <v>1.1380999999999999</v>
      </c>
      <c r="V18" s="9" cm="1">
        <f t="array" aca="1" ref="V18" ca="1">_xll.TR(T18,"CF_CLOSE","SDate:"&amp;TEXT(WORKDAY(TODAY(),-5),"yyyy-mm-dd"))</f>
        <v>1.1367</v>
      </c>
    </row>
    <row r="19" spans="1:22" ht="14" customHeight="1">
      <c r="A19" s="10" t="s">
        <v>23</v>
      </c>
      <c r="B19" s="49"/>
      <c r="C19" s="48">
        <f ca="1">'CDS from CapitalIQ'!C14</f>
        <v>14.5625</v>
      </c>
      <c r="D19" s="26">
        <f ca="1">'CDS from CapitalIQ'!T14</f>
        <v>0</v>
      </c>
      <c r="E19" s="26">
        <f ca="1">'CDS from CapitalIQ'!V14</f>
        <v>0.22920000000000051</v>
      </c>
      <c r="F19" s="26">
        <f ca="1">'CDS from CapitalIQ'!W14</f>
        <v>-1.1875</v>
      </c>
      <c r="G19" s="39">
        <f ca="1">'CDS from CapitalIQ'!X14</f>
        <v>-3.1041999999999987</v>
      </c>
      <c r="H19" s="38" cm="1">
        <f t="array" aca="1" ref="H19" ca="1">(_xll.TR(Q19,"TR.PriceClose")-_xll.TR(Q19,"TR.PriceClose","SDate:"&amp;TEXT(WORKDAY(TODAY(),-5),"yyyy-mm-dd")))/_xll.TR(Q19,"TR.PriceClose","SDate:"&amp;TEXT(WORKDAY(TODAY(),-5),"yyyy-mm-dd"))*100</f>
        <v>0.81706483627503257</v>
      </c>
      <c r="I19" s="27" cm="1">
        <f t="array" aca="1" ref="I19" ca="1">((_xll.TR(Q19,"TR.PriceClose")-_xll.TR(Q19,"TR.PriceClose","SDate:"&amp;TEXT(WORKDAY(TODAY(),-14),"yyyy-mm-dd")))/_xll.TR(Q19,"TR.PriceClose","SDate:"&amp;TEXT(WORKDAY(TODAY(),-14),"yyyy-mm-dd")))*100</f>
        <v>-2.7875989559307661</v>
      </c>
      <c r="J19" s="11" cm="1">
        <f t="array" aca="1" ref="J19" ca="1">(_xll.TR(Q19,"TRDPRC_1")-_xll.TR(Q19,"TR.PriceClose","SDate:"&amp;TEXT(WORKDAY(TODAY(),-65),"yyyy-mm-dd")))/_xll.TR(Q19,"TR.PriceClose","SDate:"&amp;TEXT(WORKDAY(TODAY(),-65),"yyyy-mm-dd"))*100</f>
        <v>12.085721018061859</v>
      </c>
      <c r="K19" s="55" cm="1">
        <f t="array" aca="1" ref="K19" ca="1">(_xll.TR(Q19,"TRDPRC_1")-_xll.TR(Q19,"TR.PriceClose","SDate:"&amp;TEXT(WORKDAY(TODAY(),-260),"yyyy-mm-dd")))/_xll.TR(Q19,"TR.PriceClose","SDate:"&amp;TEXT(WORKDAY(TODAY(),-260),"yyyy-mm-dd"))*100</f>
        <v>17.86881945424323</v>
      </c>
      <c r="L19" s="54" cm="1">
        <f t="array" aca="1" ref="L19" ca="1">_xll.TR(T19,"TR.MIDPRICE","SDate:"&amp;TEXT(WORKDAY(TODAY(),-5),"yyyy-mm-dd"))</f>
        <v>1.1415</v>
      </c>
      <c r="M19" s="11" cm="1">
        <f t="array" aca="1" ref="M19" ca="1">_xll.TR(T19,"TR.MIDPRICE","SDate:"&amp;TEXT(WORKDAY(TODAY(),-14),"yyyy-mm-dd"))</f>
        <v>1.1412500000000001</v>
      </c>
      <c r="N19" s="11" cm="1">
        <f t="array" ref="N19">-_xll.TR(T19,"PCTCHG_3M")</f>
        <v>2.89</v>
      </c>
      <c r="O19" s="60" cm="1">
        <f t="array" aca="1" ref="O19" ca="1">_xll.TR(T19,"TR.MIDPRICE","SDate:"&amp;TEXT(EDATE(TODAY(),-12),"yyyy-mm-dd"))</f>
        <v>1.1741999999999999</v>
      </c>
      <c r="P19" t="s">
        <v>61</v>
      </c>
      <c r="Q19" t="s">
        <v>105</v>
      </c>
      <c r="R19" cm="1">
        <f t="array" ref="R19">_xll.TR(Q19,"TR.PriceClose")</f>
        <v>13571.59</v>
      </c>
      <c r="S19" cm="1">
        <f t="array" aca="1" ref="S19" ca="1">_xll.TR(Q19,"TR.PriceClose","SDate:"&amp;TEXT(WORKDAY(TODAY(),-5),"yyyy-mm-dd"))</f>
        <v>13461.6</v>
      </c>
      <c r="T19" t="s">
        <v>138</v>
      </c>
      <c r="U19" s="9" cm="1">
        <f t="array" ref="U19">_xll.TR(T19,"BID")</f>
        <v>1.1380999999999999</v>
      </c>
      <c r="V19" s="9" cm="1">
        <f t="array" aca="1" ref="V19" ca="1">_xll.TR(T19,"CF_CLOSE","SDate:"&amp;TEXT(WORKDAY(TODAY(),-5),"yyyy-mm-dd"))</f>
        <v>1.1367</v>
      </c>
    </row>
    <row r="20" spans="1:22" ht="14" customHeight="1">
      <c r="A20" s="12" t="s">
        <v>24</v>
      </c>
      <c r="B20" s="50"/>
      <c r="C20" s="48">
        <f ca="1">'CDS from CapitalIQ'!C15</f>
        <v>30.5</v>
      </c>
      <c r="D20" s="26">
        <f ca="1">'CDS from CapitalIQ'!T15</f>
        <v>0.14999999999999858</v>
      </c>
      <c r="E20" s="26">
        <f ca="1">'CDS from CapitalIQ'!V15</f>
        <v>1.3473000000000006</v>
      </c>
      <c r="F20" s="26">
        <f ca="1">'CDS from CapitalIQ'!W15</f>
        <v>-0.83500000000000085</v>
      </c>
      <c r="G20" s="39">
        <f ca="1">'CDS from CapitalIQ'!X15</f>
        <v>-9.1514999999999986</v>
      </c>
      <c r="H20" s="38" cm="1">
        <f t="array" aca="1" ref="H20" ca="1">(_xll.TR(Q20,"TR.PriceClose")-_xll.TR(Q20,"TR.PriceClose","SDate:"&amp;TEXT(WORKDAY(TODAY(),-5),"yyyy-mm-dd")))/_xll.TR(Q20,"TR.PriceClose","SDate:"&amp;TEXT(WORKDAY(TODAY(),-5),"yyyy-mm-dd"))*100</f>
        <v>-0.11676965315594798</v>
      </c>
      <c r="I20" s="27" cm="1">
        <f t="array" aca="1" ref="I20" ca="1">((_xll.TR(Q20,"TR.PriceClose")-_xll.TR(Q20,"TR.PriceClose","SDate:"&amp;TEXT(WORKDAY(TODAY(),-14),"yyyy-mm-dd")))/_xll.TR(Q20,"TR.PriceClose","SDate:"&amp;TEXT(WORKDAY(TODAY(),-14),"yyyy-mm-dd")))*100</f>
        <v>-1.2452664585408093</v>
      </c>
      <c r="J20" s="11" cm="1">
        <f t="array" aca="1" ref="J20" ca="1">(_xll.TR(Q20,"TRDPRC_1")-_xll.TR(Q20,"TR.PriceClose","SDate:"&amp;TEXT(WORKDAY(TODAY(),-65),"yyyy-mm-dd")))/_xll.TR(Q20,"TR.PriceClose","SDate:"&amp;TEXT(WORKDAY(TODAY(),-65),"yyyy-mm-dd"))*100</f>
        <v>9.1895965738912402</v>
      </c>
      <c r="K20" s="55" cm="1">
        <f t="array" aca="1" ref="K20" ca="1">(_xll.TR(Q20,"TRDPRC_1")-_xll.TR(Q20,"TR.PriceClose","SDate:"&amp;TEXT(WORKDAY(TODAY(),-260),"yyyy-mm-dd")))/_xll.TR(Q20,"TR.PriceClose","SDate:"&amp;TEXT(WORKDAY(TODAY(),-260),"yyyy-mm-dd"))*100</f>
        <v>27.797592772720648</v>
      </c>
      <c r="L20" s="54" cm="1">
        <f t="array" aca="1" ref="L20" ca="1">_xll.TR(T20,"TR.MIDPRICE","SDate:"&amp;TEXT(WORKDAY(TODAY(),-5),"yyyy-mm-dd"))</f>
        <v>1.1415</v>
      </c>
      <c r="M20" s="11" cm="1">
        <f t="array" aca="1" ref="M20" ca="1">_xll.TR(T20,"TR.MIDPRICE","SDate:"&amp;TEXT(WORKDAY(TODAY(),-14),"yyyy-mm-dd"))</f>
        <v>1.1412500000000001</v>
      </c>
      <c r="N20" s="11" cm="1">
        <f t="array" ref="N20">-_xll.TR(T20,"PCTCHG_3M")</f>
        <v>2.89</v>
      </c>
      <c r="O20" s="60" cm="1">
        <f t="array" aca="1" ref="O20" ca="1">_xll.TR(T20,"TR.MIDPRICE","SDate:"&amp;TEXT(EDATE(TODAY(),-12),"yyyy-mm-dd"))</f>
        <v>1.1741999999999999</v>
      </c>
      <c r="P20" t="s">
        <v>62</v>
      </c>
      <c r="Q20" t="s">
        <v>106</v>
      </c>
      <c r="R20" cm="1">
        <f t="array" ref="R20">_xll.TR(Q20,"TR.PriceClose")</f>
        <v>51802.23</v>
      </c>
      <c r="S20" cm="1">
        <f t="array" aca="1" ref="S20" ca="1">_xll.TR(Q20,"TR.PriceClose","SDate:"&amp;TEXT(WORKDAY(TODAY(),-5),"yyyy-mm-dd"))</f>
        <v>51862.79</v>
      </c>
      <c r="T20" t="s">
        <v>138</v>
      </c>
      <c r="U20" s="9" cm="1">
        <f t="array" ref="U20">_xll.TR(T20,"BID")</f>
        <v>1.1380999999999999</v>
      </c>
      <c r="V20" s="9" cm="1">
        <f t="array" aca="1" ref="V20" ca="1">_xll.TR(T20,"CF_CLOSE","SDate:"&amp;TEXT(WORKDAY(TODAY(),-5),"yyyy-mm-dd"))</f>
        <v>1.1367</v>
      </c>
    </row>
    <row r="21" spans="1:22" ht="14" customHeight="1">
      <c r="A21" s="32" t="s">
        <v>25</v>
      </c>
      <c r="B21" s="49"/>
      <c r="C21" s="48">
        <f ca="1">'CDS from CapitalIQ'!C16</f>
        <v>9.7628000000000004</v>
      </c>
      <c r="D21" s="26">
        <f ca="1">'CDS from CapitalIQ'!T16</f>
        <v>-0.44660000000000011</v>
      </c>
      <c r="E21" s="26">
        <f ca="1">'CDS from CapitalIQ'!V16</f>
        <v>-0.23399999999999999</v>
      </c>
      <c r="F21" s="26">
        <f ca="1">'CDS from CapitalIQ'!W16</f>
        <v>-0.1664999999999992</v>
      </c>
      <c r="G21" s="39">
        <f ca="1">'CDS from CapitalIQ'!X16</f>
        <v>-5.4558</v>
      </c>
      <c r="H21" s="38" cm="1">
        <f t="array" aca="1" ref="H21" ca="1">(_xll.TR(Q21,"TR.PriceClose")-_xll.TR(Q21,"TR.PriceClose","SDate:"&amp;TEXT(WORKDAY(TODAY(),-5),"yyyy-mm-dd")))/_xll.TR(Q21,"TR.PriceClose","SDate:"&amp;TEXT(WORKDAY(TODAY(),-5),"yyyy-mm-dd"))*100</f>
        <v>0.53470817701232454</v>
      </c>
      <c r="I21" s="27" cm="1">
        <f t="array" aca="1" ref="I21" ca="1">((_xll.TR(Q21,"TR.PriceClose")-_xll.TR(Q21,"TR.PriceClose","SDate:"&amp;TEXT(WORKDAY(TODAY(),-14),"yyyy-mm-dd")))/_xll.TR(Q21,"TR.PriceClose","SDate:"&amp;TEXT(WORKDAY(TODAY(),-14),"yyyy-mm-dd")))*100</f>
        <v>-1.7644647712736394</v>
      </c>
      <c r="J21" s="11" cm="1">
        <f t="array" aca="1" ref="J21" ca="1">(_xll.TR(Q21,"TRDPRC_1")-_xll.TR(Q21,"TR.PriceClose","SDate:"&amp;TEXT(WORKDAY(TODAY(),-65),"yyyy-mm-dd")))/_xll.TR(Q21,"TR.PriceClose","SDate:"&amp;TEXT(WORKDAY(TODAY(),-65),"yyyy-mm-dd"))*100</f>
        <v>1.8099945858841977</v>
      </c>
      <c r="K21" s="55" cm="1">
        <f t="array" aca="1" ref="K21" ca="1">(_xll.TR(Q21,"TRDPRC_1")-_xll.TR(Q21,"TR.PriceClose","SDate:"&amp;TEXT(WORKDAY(TODAY(),-260),"yyyy-mm-dd")))/_xll.TR(Q21,"TR.PriceClose","SDate:"&amp;TEXT(WORKDAY(TODAY(),-260),"yyyy-mm-dd"))*100</f>
        <v>29.739450059639655</v>
      </c>
      <c r="L21" s="54" cm="1">
        <f t="array" aca="1" ref="L21" ca="1">_xll.TR(T21,"TR.MIDPRICE","SDate:"&amp;TEXT(WORKDAY(TODAY(),-5),"yyyy-mm-dd"))</f>
        <v>1.1415</v>
      </c>
      <c r="M21" s="11" cm="1">
        <f t="array" aca="1" ref="M21" ca="1">_xll.TR(T21,"TR.MIDPRICE","SDate:"&amp;TEXT(WORKDAY(TODAY(),-14),"yyyy-mm-dd"))</f>
        <v>1.1412500000000001</v>
      </c>
      <c r="N21" s="11" cm="1">
        <f t="array" ref="N21">-_xll.TR(T21,"PCTCHG_3M")</f>
        <v>2.89</v>
      </c>
      <c r="O21" s="60" cm="1">
        <f t="array" aca="1" ref="O21" ca="1">_xll.TR(T21,"TR.MIDPRICE","SDate:"&amp;TEXT(EDATE(TODAY(),-12),"yyyy-mm-dd"))</f>
        <v>1.1741999999999999</v>
      </c>
      <c r="P21" t="s">
        <v>63</v>
      </c>
      <c r="Q21" t="s">
        <v>272</v>
      </c>
      <c r="T21" t="s">
        <v>138</v>
      </c>
      <c r="U21" s="9" cm="1">
        <f t="array" ref="U21">_xll.TR(T21,"BID")</f>
        <v>1.1380999999999999</v>
      </c>
      <c r="V21" s="9" cm="1">
        <f t="array" aca="1" ref="V21" ca="1">_xll.TR(T21,"CF_CLOSE","SDate:"&amp;TEXT(WORKDAY(TODAY(),-5),"yyyy-mm-dd"))</f>
        <v>1.1367</v>
      </c>
    </row>
    <row r="22" spans="1:22" ht="14" customHeight="1">
      <c r="A22" s="12" t="s">
        <v>26</v>
      </c>
      <c r="B22" s="50"/>
      <c r="C22" s="48">
        <f ca="1">'CDS from CapitalIQ'!C17</f>
        <v>7.8333000000000004</v>
      </c>
      <c r="D22" s="26">
        <f ca="1">'CDS from CapitalIQ'!T17</f>
        <v>3.3300000000000551E-2</v>
      </c>
      <c r="E22" s="26">
        <f ca="1">'CDS from CapitalIQ'!V17</f>
        <v>3.3300000000000551E-2</v>
      </c>
      <c r="F22" s="26">
        <f ca="1">'CDS from CapitalIQ'!W17</f>
        <v>-1.0866999999999996</v>
      </c>
      <c r="G22" s="39">
        <f ca="1">'CDS from CapitalIQ'!X17</f>
        <v>-2.6427000000000005</v>
      </c>
      <c r="H22" s="38" cm="1">
        <f t="array" aca="1" ref="H22" ca="1">(_xll.TR(Q22,"TR.PriceClose")-_xll.TR(Q22,"TR.PriceClose","SDate:"&amp;TEXT(WORKDAY(TODAY(),-5),"yyyy-mm-dd")))/_xll.TR(Q22,"TR.PriceClose","SDate:"&amp;TEXT(WORKDAY(TODAY(),-5),"yyyy-mm-dd"))*100</f>
        <v>-4.4932280634187881E-2</v>
      </c>
      <c r="I22" s="27" cm="1">
        <f t="array" aca="1" ref="I22" ca="1">((_xll.TR(Q22,"TR.PriceClose")-_xll.TR(Q22,"TR.PriceClose","SDate:"&amp;TEXT(WORKDAY(TODAY(),-14),"yyyy-mm-dd")))/_xll.TR(Q22,"TR.PriceClose","SDate:"&amp;TEXT(WORKDAY(TODAY(),-14),"yyyy-mm-dd")))*100</f>
        <v>1.0231696014828513</v>
      </c>
      <c r="J22" s="11" cm="1">
        <f t="array" aca="1" ref="J22" ca="1">(_xll.TR(Q22,"TRDPRC_1")-_xll.TR(Q22,"TR.PriceClose","SDate:"&amp;TEXT(WORKDAY(TODAY(),-65),"yyyy-mm-dd")))/_xll.TR(Q22,"TR.PriceClose","SDate:"&amp;TEXT(WORKDAY(TODAY(),-65),"yyyy-mm-dd"))*100</f>
        <v>7.1582202575056391</v>
      </c>
      <c r="K22" s="55" cm="1">
        <f t="array" aca="1" ref="K22" ca="1">(_xll.TR(Q22,"TRDPRC_1")-_xll.TR(Q22,"TR.PriceClose","SDate:"&amp;TEXT(WORKDAY(TODAY(),-260),"yyyy-mm-dd")))/_xll.TR(Q22,"TR.PriceClose","SDate:"&amp;TEXT(WORKDAY(TODAY(),-260),"yyyy-mm-dd"))*100</f>
        <v>19.061935597550786</v>
      </c>
      <c r="L22" s="54" cm="1">
        <f t="array" aca="1" ref="L22" ca="1">_xll.TR(T22,"TR.MIDPRICE","SDate:"&amp;TEXT(WORKDAY(TODAY(),-5),"yyyy-mm-dd"))</f>
        <v>1.1415</v>
      </c>
      <c r="M22" s="11" cm="1">
        <f t="array" aca="1" ref="M22" ca="1">_xll.TR(T22,"TR.MIDPRICE","SDate:"&amp;TEXT(WORKDAY(TODAY(),-14),"yyyy-mm-dd"))</f>
        <v>1.1412500000000001</v>
      </c>
      <c r="N22" s="11" cm="1">
        <f t="array" ref="N22">-_xll.TR(T22,"PCTCHG_3M")</f>
        <v>2.89</v>
      </c>
      <c r="O22" s="60" cm="1">
        <f t="array" aca="1" ref="O22" ca="1">_xll.TR(T22,"TR.MIDPRICE","SDate:"&amp;TEXT(EDATE(TODAY(),-12),"yyyy-mm-dd"))</f>
        <v>1.1741999999999999</v>
      </c>
      <c r="P22" t="s">
        <v>64</v>
      </c>
      <c r="Q22" t="s">
        <v>107</v>
      </c>
      <c r="R22" cm="1">
        <f t="array" ref="R22">_xll.TR(Q22,"TR.PriceClose")</f>
        <v>1090.04</v>
      </c>
      <c r="S22" cm="1">
        <f t="array" aca="1" ref="S22" ca="1">_xll.TR(Q22,"TR.PriceClose","SDate:"&amp;TEXT(WORKDAY(TODAY(),-5),"yyyy-mm-dd"))</f>
        <v>1090.53</v>
      </c>
      <c r="T22" t="s">
        <v>138</v>
      </c>
      <c r="U22" s="9" cm="1">
        <f t="array" ref="U22">_xll.TR(T22,"BID")</f>
        <v>1.1380999999999999</v>
      </c>
      <c r="V22" s="9" cm="1">
        <f t="array" aca="1" ref="V22" ca="1">_xll.TR(T22,"CF_CLOSE","SDate:"&amp;TEXT(WORKDAY(TODAY(),-5),"yyyy-mm-dd"))</f>
        <v>1.1367</v>
      </c>
    </row>
    <row r="23" spans="1:22" ht="14" customHeight="1">
      <c r="A23" s="10" t="s">
        <v>27</v>
      </c>
      <c r="B23" s="49"/>
      <c r="C23" s="48">
        <f ca="1">'CDS from CapitalIQ'!C18</f>
        <v>14.429</v>
      </c>
      <c r="D23" s="26">
        <f ca="1">'CDS from CapitalIQ'!T18</f>
        <v>5.400000000000027E-2</v>
      </c>
      <c r="E23" s="26">
        <f ca="1">'CDS from CapitalIQ'!V18</f>
        <v>0.17900000000000027</v>
      </c>
      <c r="F23" s="26">
        <f ca="1">'CDS from CapitalIQ'!W18</f>
        <v>-1.9859999999999989</v>
      </c>
      <c r="G23" s="39">
        <f ca="1">'CDS from CapitalIQ'!X18</f>
        <v>-8.4459999999999997</v>
      </c>
      <c r="H23" s="38" cm="1">
        <f t="array" aca="1" ref="H23" ca="1">(_xll.TR(Q23,"TR.PriceClose")-_xll.TR(Q23,"TR.PriceClose","SDate:"&amp;TEXT(WORKDAY(TODAY(),-5),"yyyy-mm-dd")))/_xll.TR(Q23,"TR.PriceClose","SDate:"&amp;TEXT(WORKDAY(TODAY(),-5),"yyyy-mm-dd"))*100</f>
        <v>1.5919371250982719</v>
      </c>
      <c r="I23" s="27" cm="1">
        <f t="array" aca="1" ref="I23" ca="1">((_xll.TR(Q23,"TR.PriceClose")-_xll.TR(Q23,"TR.PriceClose","SDate:"&amp;TEXT(WORKDAY(TODAY(),-14),"yyyy-mm-dd")))/_xll.TR(Q23,"TR.PriceClose","SDate:"&amp;TEXT(WORKDAY(TODAY(),-14),"yyyy-mm-dd")))*100</f>
        <v>-0.36760293693122903</v>
      </c>
      <c r="J23" s="11" cm="1">
        <f t="array" aca="1" ref="J23" ca="1">(_xll.TR(Q23,"TRDPRC_1")-_xll.TR(Q23,"TR.PriceClose","SDate:"&amp;TEXT(WORKDAY(TODAY(),-65),"yyyy-mm-dd")))/_xll.TR(Q23,"TR.PriceClose","SDate:"&amp;TEXT(WORKDAY(TODAY(),-65),"yyyy-mm-dd"))*100</f>
        <v>-0.60495448131580454</v>
      </c>
      <c r="K23" s="55" cm="1">
        <f t="array" aca="1" ref="K23" ca="1">(_xll.TR(Q23,"TRDPRC_1")-_xll.TR(Q23,"TR.PriceClose","SDate:"&amp;TEXT(WORKDAY(TODAY(),-260),"yyyy-mm-dd")))/_xll.TR(Q23,"TR.PriceClose","SDate:"&amp;TEXT(WORKDAY(TODAY(),-260),"yyyy-mm-dd"))*100</f>
        <v>18.885720466991806</v>
      </c>
      <c r="L23" s="54" cm="1">
        <f t="array" aca="1" ref="L23" ca="1">_xll.TR(T23,"TR.MIDPRICE","SDate:"&amp;TEXT(WORKDAY(TODAY(),-5),"yyyy-mm-dd"))</f>
        <v>1.1415</v>
      </c>
      <c r="M23" s="11" cm="1">
        <f t="array" aca="1" ref="M23" ca="1">_xll.TR(T23,"TR.MIDPRICE","SDate:"&amp;TEXT(WORKDAY(TODAY(),-14),"yyyy-mm-dd"))</f>
        <v>1.1412500000000001</v>
      </c>
      <c r="N23" s="11" cm="1">
        <f t="array" ref="N23">-_xll.TR(T23,"PCTCHG_3M")</f>
        <v>2.89</v>
      </c>
      <c r="O23" s="60" cm="1">
        <f t="array" aca="1" ref="O23" ca="1">_xll.TR(T23,"TR.MIDPRICE","SDate:"&amp;TEXT(EDATE(TODAY(),-12),"yyyy-mm-dd"))</f>
        <v>1.1741999999999999</v>
      </c>
      <c r="P23" t="s">
        <v>65</v>
      </c>
      <c r="Q23" t="s">
        <v>108</v>
      </c>
      <c r="R23" cm="1">
        <f t="array" ref="R23">_xll.TR(Q23,"TR.PriceClose")</f>
        <v>9215.11</v>
      </c>
      <c r="S23" cm="1">
        <f t="array" aca="1" ref="S23" ca="1">_xll.TR(Q23,"TR.PriceClose","SDate:"&amp;TEXT(WORKDAY(TODAY(),-5),"yyyy-mm-dd"))</f>
        <v>9070.7099999999991</v>
      </c>
      <c r="T23" t="s">
        <v>138</v>
      </c>
      <c r="U23" s="9" cm="1">
        <f t="array" ref="U23">_xll.TR(T23,"BID")</f>
        <v>1.1380999999999999</v>
      </c>
      <c r="V23" s="9" cm="1">
        <f t="array" aca="1" ref="V23" ca="1">_xll.TR(T23,"CF_CLOSE","SDate:"&amp;TEXT(WORKDAY(TODAY(),-5),"yyyy-mm-dd"))</f>
        <v>1.1367</v>
      </c>
    </row>
    <row r="24" spans="1:22" ht="14" customHeight="1">
      <c r="A24" s="12" t="s">
        <v>28</v>
      </c>
      <c r="B24" s="50"/>
      <c r="C24" s="48">
        <f ca="1">'CDS from CapitalIQ'!C19</f>
        <v>35.378</v>
      </c>
      <c r="D24" s="26">
        <f ca="1">'CDS from CapitalIQ'!T19</f>
        <v>0.26219999999999999</v>
      </c>
      <c r="E24" s="26">
        <f ca="1">'CDS from CapitalIQ'!V19</f>
        <v>-0.77129999999999654</v>
      </c>
      <c r="F24" s="26">
        <f ca="1">'CDS from CapitalIQ'!W19</f>
        <v>-3.1783000000000001</v>
      </c>
      <c r="G24" s="39">
        <f ca="1">'CDS from CapitalIQ'!X19</f>
        <v>1.9468999999999994</v>
      </c>
      <c r="H24" s="38" cm="1">
        <f t="array" aca="1" ref="H24" ca="1">(_xll.TR(Q24,"TR.PriceClose")-_xll.TR(Q24,"TR.PriceClose","SDate:"&amp;TEXT(WORKDAY(TODAY(),-5),"yyyy-mm-dd")))/_xll.TR(Q24,"TR.PriceClose","SDate:"&amp;TEXT(WORKDAY(TODAY(),-5),"yyyy-mm-dd"))*100</f>
        <v>1.0209569820436135</v>
      </c>
      <c r="I24" s="27" cm="1">
        <f t="array" aca="1" ref="I24" ca="1">((_xll.TR(Q24,"TR.PriceClose")-_xll.TR(Q24,"TR.PriceClose","SDate:"&amp;TEXT(WORKDAY(TODAY(),-14),"yyyy-mm-dd")))/_xll.TR(Q24,"TR.PriceClose","SDate:"&amp;TEXT(WORKDAY(TODAY(),-14),"yyyy-mm-dd")))*100</f>
        <v>3.4859068706422156</v>
      </c>
      <c r="J24" s="11" t="e" cm="1">
        <f t="array" aca="1" ref="J24" ca="1">(_xll.TR(Q24,"TRDPRC_1")-_xll.TR(Q24,"TR.PriceClose","SDate:"&amp;TEXT(WORKDAY(TODAY(),-65),"yyyy-mm-dd")))/_xll.TR(Q24,"TR.PriceClose","SDate:"&amp;TEXT(WORKDAY(TODAY(),-65),"yyyy-mm-dd"))*100</f>
        <v>#VALUE!</v>
      </c>
      <c r="K24" s="55" cm="1">
        <f t="array" aca="1" ref="K24" ca="1">(_xll.TR(Q24,"TRDPRC_1")-_xll.TR(Q24,"TR.PriceClose","SDate:"&amp;TEXT(WORKDAY(TODAY(),-260),"yyyy-mm-dd")))/_xll.TR(Q24,"TR.PriceClose","SDate:"&amp;TEXT(WORKDAY(TODAY(),-260),"yyyy-mm-dd"))*100</f>
        <v>31.017416261700522</v>
      </c>
      <c r="L24" s="54" cm="1">
        <f t="array" aca="1" ref="L24" ca="1">_xll.TR(T24,"TR.MIDPRICE","SDate:"&amp;TEXT(WORKDAY(TODAY(),-5),"yyyy-mm-dd"))</f>
        <v>1.1415</v>
      </c>
      <c r="M24" s="11" cm="1">
        <f t="array" aca="1" ref="M24" ca="1">_xll.TR(T24,"TR.MIDPRICE","SDate:"&amp;TEXT(WORKDAY(TODAY(),-14),"yyyy-mm-dd"))</f>
        <v>1.1412500000000001</v>
      </c>
      <c r="N24" s="11" cm="1">
        <f t="array" ref="N24">-_xll.TR(T24,"PCTCHG_3M")</f>
        <v>2.89</v>
      </c>
      <c r="O24" s="60" cm="1">
        <f t="array" aca="1" ref="O24" ca="1">_xll.TR(T24,"TR.MIDPRICE","SDate:"&amp;TEXT(EDATE(TODAY(),-12),"yyyy-mm-dd"))</f>
        <v>1.1741999999999999</v>
      </c>
      <c r="P24" t="s">
        <v>66</v>
      </c>
      <c r="Q24" t="s">
        <v>109</v>
      </c>
      <c r="R24" cm="1">
        <f t="array" ref="R24">_xll.TR(Q24,"TR.PriceClose")</f>
        <v>3211.83</v>
      </c>
      <c r="S24" cm="1">
        <f t="array" aca="1" ref="S24" ca="1">_xll.TR(Q24,"TR.PriceClose","SDate:"&amp;TEXT(WORKDAY(TODAY(),-5),"yyyy-mm-dd"))</f>
        <v>3179.37</v>
      </c>
      <c r="T24" t="s">
        <v>138</v>
      </c>
      <c r="U24" s="9" cm="1">
        <f t="array" ref="U24">_xll.TR(T24,"BID")</f>
        <v>1.1380999999999999</v>
      </c>
      <c r="V24" s="9" cm="1">
        <f t="array" aca="1" ref="V24" ca="1">_xll.TR(T24,"CF_CLOSE","SDate:"&amp;TEXT(WORKDAY(TODAY(),-5),"yyyy-mm-dd"))</f>
        <v>1.1367</v>
      </c>
    </row>
    <row r="25" spans="1:22" ht="14" customHeight="1">
      <c r="A25" s="10" t="s">
        <v>29</v>
      </c>
      <c r="B25" s="49"/>
      <c r="C25" s="48">
        <f ca="1">'CDS from CapitalIQ'!C20</f>
        <v>16.4726</v>
      </c>
      <c r="D25" s="26">
        <f ca="1">'CDS from CapitalIQ'!T20</f>
        <v>0.4527000000000001</v>
      </c>
      <c r="E25" s="26">
        <f ca="1">'CDS from CapitalIQ'!V20</f>
        <v>0.45199999999999818</v>
      </c>
      <c r="F25" s="26">
        <f ca="1">'CDS from CapitalIQ'!W20</f>
        <v>5.0100000000000477E-2</v>
      </c>
      <c r="G25" s="39">
        <f ca="1">'CDS from CapitalIQ'!X20</f>
        <v>-10.585999999999999</v>
      </c>
      <c r="H25" s="38" cm="1">
        <f t="array" aca="1" ref="H25" ca="1">(_xll.TR(Q25,"TR.PriceClose")-_xll.TR(Q25,"TR.PriceClose","SDate:"&amp;TEXT(WORKDAY(TODAY(),-5),"yyyy-mm-dd")))/_xll.TR(Q25,"TR.PriceClose","SDate:"&amp;TEXT(WORKDAY(TODAY(),-5),"yyyy-mm-dd"))*100</f>
        <v>1.9706459657727171</v>
      </c>
      <c r="I25" s="27" cm="1">
        <f t="array" aca="1" ref="I25" ca="1">((_xll.TR(Q25,"TR.PriceClose")-_xll.TR(Q25,"TR.PriceClose","SDate:"&amp;TEXT(WORKDAY(TODAY(),-14),"yyyy-mm-dd")))/_xll.TR(Q25,"TR.PriceClose","SDate:"&amp;TEXT(WORKDAY(TODAY(),-14),"yyyy-mm-dd")))*100</f>
        <v>-0.27901956191891769</v>
      </c>
      <c r="J25" s="11" cm="1">
        <f t="array" aca="1" ref="J25" ca="1">(_xll.TR(Q25,"TRDPRC_1")-_xll.TR(Q25,"TR.PriceClose","SDate:"&amp;TEXT(WORKDAY(TODAY(),-65),"yyyy-mm-dd")))/_xll.TR(Q25,"TR.PriceClose","SDate:"&amp;TEXT(WORKDAY(TODAY(),-65),"yyyy-mm-dd"))*100</f>
        <v>11.577525448061074</v>
      </c>
      <c r="K25" s="55" cm="1">
        <f t="array" aca="1" ref="K25" ca="1">(_xll.TR(Q25,"TRDPRC_1")-_xll.TR(Q25,"TR.PriceClose","SDate:"&amp;TEXT(WORKDAY(TODAY(),-260),"yyyy-mm-dd")))/_xll.TR(Q25,"TR.PriceClose","SDate:"&amp;TEXT(WORKDAY(TODAY(),-260),"yyyy-mm-dd"))*100</f>
        <v>38.82575491202654</v>
      </c>
      <c r="L25" s="54" cm="1">
        <f t="array" aca="1" ref="L25" ca="1">_xll.TR(T25,"TR.MIDPRICE","SDate:"&amp;TEXT(WORKDAY(TODAY(),-5),"yyyy-mm-dd"))</f>
        <v>1.1415</v>
      </c>
      <c r="M25" s="11" cm="1">
        <f t="array" aca="1" ref="M25" ca="1">_xll.TR(T25,"TR.MIDPRICE","SDate:"&amp;TEXT(WORKDAY(TODAY(),-14),"yyyy-mm-dd"))</f>
        <v>1.1412500000000001</v>
      </c>
      <c r="N25" s="11" cm="1">
        <f t="array" ref="N25">-_xll.TR(T25,"PCTCHG_3M")</f>
        <v>2.89</v>
      </c>
      <c r="O25" s="60" cm="1">
        <f t="array" aca="1" ref="O25" ca="1">_xll.TR(T25,"TR.MIDPRICE","SDate:"&amp;TEXT(EDATE(TODAY(),-12),"yyyy-mm-dd"))</f>
        <v>1.1741999999999999</v>
      </c>
      <c r="P25" t="s">
        <v>67</v>
      </c>
      <c r="Q25" t="s">
        <v>110</v>
      </c>
      <c r="R25" cm="1">
        <f t="array" ref="R25">_xll.TR(Q25,"TR.PriceClose")</f>
        <v>19585.400000000001</v>
      </c>
      <c r="S25" cm="1">
        <f t="array" aca="1" ref="S25" ca="1">_xll.TR(Q25,"TR.PriceClose","SDate:"&amp;TEXT(WORKDAY(TODAY(),-5),"yyyy-mm-dd"))</f>
        <v>19206.900000000001</v>
      </c>
      <c r="T25" t="s">
        <v>138</v>
      </c>
      <c r="U25" s="9" cm="1">
        <f t="array" ref="U25">_xll.TR(T25,"BID")</f>
        <v>1.1380999999999999</v>
      </c>
      <c r="V25" s="9" cm="1">
        <f t="array" aca="1" ref="V25" ca="1">_xll.TR(T25,"CF_CLOSE","SDate:"&amp;TEXT(WORKDAY(TODAY(),-5),"yyyy-mm-dd"))</f>
        <v>1.1367</v>
      </c>
    </row>
    <row r="26" spans="1:22" ht="14" customHeight="1">
      <c r="A26" s="70" t="s">
        <v>30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U26" s="9"/>
      <c r="V26" s="9"/>
    </row>
    <row r="27" spans="1:22" ht="14" customHeight="1">
      <c r="A27" s="12" t="s">
        <v>31</v>
      </c>
      <c r="B27" s="50"/>
      <c r="C27" s="51">
        <f ca="1">'CDS from CapitalIQ'!C22</f>
        <v>18</v>
      </c>
      <c r="D27" s="25">
        <f ca="1">'CDS from CapitalIQ'!T22</f>
        <v>-0.125</v>
      </c>
      <c r="E27" s="25">
        <f ca="1">'CDS from CapitalIQ'!V22</f>
        <v>0.16669999999999874</v>
      </c>
      <c r="F27" s="25">
        <f ca="1">'CDS from CapitalIQ'!W22</f>
        <v>-0.83330000000000126</v>
      </c>
      <c r="G27" s="41">
        <f ca="1">'CDS from CapitalIQ'!X22</f>
        <v>1.5</v>
      </c>
      <c r="H27" s="40" cm="1">
        <f t="array" aca="1" ref="H27" ca="1">(_xll.TR(Q27,"TR.PriceClose")-_xll.TR(Q27,"TR.PriceClose","SDate:"&amp;TEXT(WORKDAY(TODAY(),-5),"yyyy-mm-dd")))/_xll.TR(Q27,"TR.PriceClose","SDate:"&amp;TEXT(WORKDAY(TODAY(),-5),"yyyy-mm-dd"))*100</f>
        <v>2.0092619689190001</v>
      </c>
      <c r="I27" s="13" cm="1">
        <f t="array" aca="1" ref="I27" ca="1">((_xll.TR(Q27,"TR.PriceClose")-_xll.TR(Q27,"TR.PriceClose","SDate:"&amp;TEXT(WORKDAY(TODAY(),-14),"yyyy-mm-dd")))/_xll.TR(Q27,"TR.PriceClose","SDate:"&amp;TEXT(WORKDAY(TODAY(),-14),"yyyy-mm-dd")))*100</f>
        <v>0.65957989401718731</v>
      </c>
      <c r="J27" s="13" cm="1">
        <f t="array" aca="1" ref="J27" ca="1">(_xll.TR(Q27,"TRDPRC_1")-_xll.TR(Q27,"TR.PriceClose","SDate:"&amp;TEXT(WORKDAY(TODAY(),-65),"yyyy-mm-dd")))/_xll.TR(Q27,"TR.PriceClose","SDate:"&amp;TEXT(WORKDAY(TODAY(),-65),"yyyy-mm-dd"))*100</f>
        <v>4.4632882767227091</v>
      </c>
      <c r="K27" s="56" cm="1">
        <f t="array" aca="1" ref="K27" ca="1">(_xll.TR(Q27,"TRDPRC_1")-_xll.TR(Q27,"TR.PriceClose","SDate:"&amp;TEXT(WORKDAY(TODAY(),-260),"yyyy-mm-dd")))/_xll.TR(Q27,"TR.PriceClose","SDate:"&amp;TEXT(WORKDAY(TODAY(),-260),"yyyy-mm-dd"))*100</f>
        <v>18.722911784915162</v>
      </c>
      <c r="L27" s="40" cm="1">
        <f t="array" aca="1" ref="L27" ca="1">_xll.TR(T27,"TR.MIDPRICE","SDate:"&amp;TEXT(WORKDAY(TODAY(),-5),"yyyy-mm-dd"))</f>
        <v>1.3431500000000001</v>
      </c>
      <c r="M27" s="13" cm="1">
        <f t="array" aca="1" ref="M27" ca="1">_xll.TR(T27,"TR.MIDPRICE","SDate:"&amp;TEXT(WORKDAY(TODAY(),-14),"yyyy-mm-dd"))</f>
        <v>1.3355999999999999</v>
      </c>
      <c r="N27" s="13" cm="1">
        <f t="array" ref="N27">-_xll.TR(T27,"PCTCHG_3M")</f>
        <v>1.66</v>
      </c>
      <c r="O27" s="56" cm="1">
        <f t="array" ref="O27">-_xll.TR(T27,"PCTCHG_YTD")</f>
        <v>1.24</v>
      </c>
      <c r="P27" t="s">
        <v>68</v>
      </c>
      <c r="Q27" t="s">
        <v>111</v>
      </c>
      <c r="R27" cm="1">
        <f t="array" ref="R27">_xll.TR(Q27,"TR.PriceClose")</f>
        <v>10736.23</v>
      </c>
      <c r="S27" cm="1">
        <f t="array" aca="1" ref="S27" ca="1">_xll.TR(Q27,"TR.PriceClose","SDate:"&amp;TEXT(WORKDAY(TODAY(),-5),"yyyy-mm-dd"))</f>
        <v>10524.76</v>
      </c>
      <c r="T27" t="s">
        <v>139</v>
      </c>
      <c r="U27" s="9" cm="1">
        <f t="array" ref="U27">_xll.TR(T27,"BID")</f>
        <v>1.3306</v>
      </c>
      <c r="V27" s="9" cm="1">
        <f t="array" aca="1" ref="V27" ca="1">_xll.TR(T27,"CF_CLOSE","SDate:"&amp;TEXT(WORKDAY(TODAY(),-5),"yyyy-mm-dd"))</f>
        <v>1.3319000000000001</v>
      </c>
    </row>
    <row r="28" spans="1:22" ht="14" customHeight="1">
      <c r="A28" s="10" t="s">
        <v>32</v>
      </c>
      <c r="B28" s="49"/>
      <c r="C28" s="51">
        <f ca="1">'CDS from CapitalIQ'!C23</f>
        <v>29.2563</v>
      </c>
      <c r="D28" s="25">
        <f ca="1">'CDS from CapitalIQ'!T23</f>
        <v>-1.6600000000000392E-2</v>
      </c>
      <c r="E28" s="25">
        <f ca="1">'CDS from CapitalIQ'!V23</f>
        <v>0.28699999999999903</v>
      </c>
      <c r="F28" s="25">
        <f ca="1">'CDS from CapitalIQ'!W23</f>
        <v>-0.21020000000000039</v>
      </c>
      <c r="G28" s="41">
        <f ca="1">'CDS from CapitalIQ'!X23</f>
        <v>3.5109999999999992</v>
      </c>
      <c r="H28" s="40" cm="1">
        <f t="array" aca="1" ref="H28" ca="1">(_xll.TR(Q28,"TR.PriceClose")-_xll.TR(Q28,"TR.PriceClose","SDate:"&amp;TEXT(WORKDAY(TODAY(),-5),"yyyy-mm-dd")))/_xll.TR(Q28,"TR.PriceClose","SDate:"&amp;TEXT(WORKDAY(TODAY(),-5),"yyyy-mm-dd"))*100</f>
        <v>2.4061664525537263</v>
      </c>
      <c r="I28" s="13" cm="1">
        <f t="array" aca="1" ref="I28" ca="1">((_xll.TR(Q28,"TR.PriceClose")-_xll.TR(Q28,"TR.PriceClose","SDate:"&amp;TEXT(WORKDAY(TODAY(),-14),"yyyy-mm-dd")))/_xll.TR(Q28,"TR.PriceClose","SDate:"&amp;TEXT(WORKDAY(TODAY(),-14),"yyyy-mm-dd")))*100</f>
        <v>1.5765748528657622</v>
      </c>
      <c r="J28" s="13" cm="1">
        <f t="array" aca="1" ref="J28" ca="1">(_xll.TR(Q28,"TRDPRC_1")-_xll.TR(Q28,"TR.PriceClose","SDate:"&amp;TEXT(WORKDAY(TODAY(),-65),"yyyy-mm-dd")))/_xll.TR(Q28,"TR.PriceClose","SDate:"&amp;TEXT(WORKDAY(TODAY(),-65),"yyyy-mm-dd"))*100</f>
        <v>3.6521698866727665</v>
      </c>
      <c r="K28" s="56" cm="1">
        <f t="array" aca="1" ref="K28" ca="1">(_xll.TR(Q28,"TRDPRC_1")-_xll.TR(Q28,"TR.PriceClose","SDate:"&amp;TEXT(WORKDAY(TODAY(),-260),"yyyy-mm-dd")))/_xll.TR(Q28,"TR.PriceClose","SDate:"&amp;TEXT(WORKDAY(TODAY(),-260),"yyyy-mm-dd"))*100</f>
        <v>20.957479861133013</v>
      </c>
      <c r="L28" s="40" cm="1">
        <f t="array" aca="1" ref="L28" ca="1">_xll.TR(T28,"TR.MIDPRICE","SDate:"&amp;TEXT(WORKDAY(TODAY(),-5),"yyyy-mm-dd"))</f>
        <v>21.202500000000001</v>
      </c>
      <c r="M28" s="13" cm="1">
        <f t="array" aca="1" ref="M28" ca="1">_xll.TR(T28,"TR.MIDPRICE","SDate:"&amp;TEXT(WORKDAY(TODAY(),-14),"yyyy-mm-dd"))</f>
        <v>21.236999999999998</v>
      </c>
      <c r="N28" s="13" cm="1">
        <f t="array" ref="N28">-_xll.TR(T28,"PCTCHG_3M")</f>
        <v>-2.33</v>
      </c>
      <c r="O28" s="56" cm="1">
        <f t="array" ref="O28">-_xll.TR(T28,"PCTCHG_YTD")</f>
        <v>-3.3</v>
      </c>
      <c r="P28" t="s">
        <v>69</v>
      </c>
      <c r="Q28" t="s">
        <v>112</v>
      </c>
      <c r="R28" cm="1">
        <f t="array" ref="R28">_xll.TR(Q28,"TR.PriceClose")</f>
        <v>2654.46</v>
      </c>
      <c r="S28" cm="1">
        <f t="array" aca="1" ref="S28" ca="1">_xll.TR(Q28,"TR.PriceClose","SDate:"&amp;TEXT(WORKDAY(TODAY(),-5),"yyyy-mm-dd"))</f>
        <v>2592.09</v>
      </c>
      <c r="T28" t="s">
        <v>140</v>
      </c>
      <c r="U28" s="9" cm="1">
        <f t="array" ref="U28">_xll.TR(T28,"BID")</f>
        <v>21.231999999999999</v>
      </c>
      <c r="V28" s="9" cm="1">
        <f t="array" aca="1" ref="V28" ca="1">_xll.TR(T28,"CF_CLOSE","SDate:"&amp;TEXT(WORKDAY(TODAY(),-5),"yyyy-mm-dd"))</f>
        <v>21.207000000000001</v>
      </c>
    </row>
    <row r="29" spans="1:22" ht="14" customHeight="1">
      <c r="A29" s="31" t="s">
        <v>33</v>
      </c>
      <c r="B29" s="50"/>
      <c r="C29" s="51">
        <f ca="1">'CDS from CapitalIQ'!C24</f>
        <v>7.9626999999999999</v>
      </c>
      <c r="D29" s="25">
        <f ca="1">'CDS from CapitalIQ'!T24</f>
        <v>-0.16230000000000011</v>
      </c>
      <c r="E29" s="25">
        <f ca="1">'CDS from CapitalIQ'!V24</f>
        <v>4.9999999999999822E-2</v>
      </c>
      <c r="F29" s="25">
        <f ca="1">'CDS from CapitalIQ'!W24</f>
        <v>-1.0373000000000001</v>
      </c>
      <c r="G29" s="41">
        <f ca="1">'CDS from CapitalIQ'!X24</f>
        <v>-0.81680000000000064</v>
      </c>
      <c r="H29" s="40" cm="1">
        <f t="array" aca="1" ref="H29" ca="1">(_xll.TR(Q29,"TR.PriceClose")-_xll.TR(Q29,"TR.PriceClose","SDate:"&amp;TEXT(WORKDAY(TODAY(),-5),"yyyy-mm-dd")))/_xll.TR(Q29,"TR.PriceClose","SDate:"&amp;TEXT(WORKDAY(TODAY(),-5),"yyyy-mm-dd"))*100</f>
        <v>-3.3941498005613786</v>
      </c>
      <c r="I29" s="13" cm="1">
        <f t="array" aca="1" ref="I29" ca="1">((_xll.TR(Q29,"TR.PriceClose")-_xll.TR(Q29,"TR.PriceClose","SDate:"&amp;TEXT(WORKDAY(TODAY(),-14),"yyyy-mm-dd")))/_xll.TR(Q29,"TR.PriceClose","SDate:"&amp;TEXT(WORKDAY(TODAY(),-14),"yyyy-mm-dd")))*100</f>
        <v>-3.2312790347386331</v>
      </c>
      <c r="J29" s="13" cm="1">
        <f t="array" aca="1" ref="J29" ca="1">(_xll.TR(Q29,"TRDPRC_1")-_xll.TR(Q29,"TR.PriceClose","SDate:"&amp;TEXT(WORKDAY(TODAY(),-65),"yyyy-mm-dd")))/_xll.TR(Q29,"TR.PriceClose","SDate:"&amp;TEXT(WORKDAY(TODAY(),-65),"yyyy-mm-dd"))*100</f>
        <v>5.6046450007488193</v>
      </c>
      <c r="K29" s="56" cm="1">
        <f t="array" aca="1" ref="K29" ca="1">(_xll.TR(Q29,"TRDPRC_1")-_xll.TR(Q29,"TR.PriceClose","SDate:"&amp;TEXT(WORKDAY(TODAY(),-260),"yyyy-mm-dd")))/_xll.TR(Q29,"TR.PriceClose","SDate:"&amp;TEXT(WORKDAY(TODAY(),-260),"yyyy-mm-dd"))*100</f>
        <v>2.8400262518721222</v>
      </c>
      <c r="L29" s="40" cm="1">
        <f t="array" aca="1" ref="L29" ca="1">_xll.TR(T29,"TR.MIDPRICE","SDate:"&amp;TEXT(WORKDAY(TODAY(),-5),"yyyy-mm-dd"))</f>
        <v>6.5494000000000003</v>
      </c>
      <c r="M29" s="13" cm="1">
        <f t="array" aca="1" ref="M29" ca="1">_xll.TR(T29,"TR.MIDPRICE","SDate:"&amp;TEXT(WORKDAY(TODAY(),-14),"yyyy-mm-dd"))</f>
        <v>6.5503</v>
      </c>
      <c r="N29" s="13" cm="1">
        <f t="array" ref="N29">-_xll.TR(T29,"PCTCHG_3M")</f>
        <v>-3.04</v>
      </c>
      <c r="O29" s="56" cm="1">
        <f t="array" ref="O29">-_xll.TR(T29,"PCTCHG_YTD")</f>
        <v>-3.28</v>
      </c>
      <c r="P29" t="s">
        <v>70</v>
      </c>
      <c r="Q29" t="s">
        <v>273</v>
      </c>
      <c r="T29" t="s">
        <v>141</v>
      </c>
      <c r="U29" s="9" cm="1">
        <f t="array" ref="U29">_xll.TR(T29,"BID")</f>
        <v>6.5674999999999999</v>
      </c>
      <c r="V29" s="9" cm="1">
        <f t="array" aca="1" ref="V29" ca="1">_xll.TR(T29,"CF_CLOSE","SDate:"&amp;TEXT(WORKDAY(TODAY(),-5),"yyyy-mm-dd"))</f>
        <v>6.5738000000000003</v>
      </c>
    </row>
    <row r="30" spans="1:22" ht="14" customHeight="1">
      <c r="A30" s="10" t="s">
        <v>34</v>
      </c>
      <c r="B30" s="49"/>
      <c r="C30" s="51">
        <f ca="1">'CDS from CapitalIQ'!C25</f>
        <v>4.6885000000000003</v>
      </c>
      <c r="D30" s="25">
        <f ca="1">'CDS from CapitalIQ'!T25</f>
        <v>3.3000000000003027E-3</v>
      </c>
      <c r="E30" s="25">
        <f ca="1">'CDS from CapitalIQ'!V25</f>
        <v>0.19270000000000032</v>
      </c>
      <c r="F30" s="25">
        <f ca="1">'CDS from CapitalIQ'!W25</f>
        <v>-1.0318999999999994</v>
      </c>
      <c r="G30" s="41">
        <f ca="1">'CDS from CapitalIQ'!X25</f>
        <v>-3.1541999999999994</v>
      </c>
      <c r="H30" s="40" cm="1">
        <f t="array" aca="1" ref="H30" ca="1">(_xll.TR(Q30,"TR.PriceClose")-_xll.TR(Q30,"TR.PriceClose","SDate:"&amp;TEXT(WORKDAY(TODAY(),-5),"yyyy-mm-dd")))/_xll.TR(Q30,"TR.PriceClose","SDate:"&amp;TEXT(WORKDAY(TODAY(),-5),"yyyy-mm-dd"))*100</f>
        <v>3.6191679923293147</v>
      </c>
      <c r="I30" s="13" cm="1">
        <f t="array" aca="1" ref="I30" ca="1">((_xll.TR(Q30,"TR.PriceClose")-_xll.TR(Q30,"TR.PriceClose","SDate:"&amp;TEXT(WORKDAY(TODAY(),-14),"yyyy-mm-dd")))/_xll.TR(Q30,"TR.PriceClose","SDate:"&amp;TEXT(WORKDAY(TODAY(),-14),"yyyy-mm-dd")))*100</f>
        <v>4.5717050427744974</v>
      </c>
      <c r="J30" s="13" cm="1">
        <f t="array" aca="1" ref="J30" ca="1">(_xll.TR(Q30,"TRDPRC_1")-_xll.TR(Q30,"TR.PriceClose","SDate:"&amp;TEXT(WORKDAY(TODAY(),-65),"yyyy-mm-dd")))/_xll.TR(Q30,"TR.PriceClose","SDate:"&amp;TEXT(WORKDAY(TODAY(),-65),"yyyy-mm-dd"))*100</f>
        <v>0.73496955126145169</v>
      </c>
      <c r="K30" s="56" cm="1">
        <f t="array" aca="1" ref="K30" ca="1">(_xll.TR(Q30,"TRDPRC_1")-_xll.TR(Q30,"TR.PriceClose","SDate:"&amp;TEXT(WORKDAY(TODAY(),-260),"yyyy-mm-dd")))/_xll.TR(Q30,"TR.PriceClose","SDate:"&amp;TEXT(WORKDAY(TODAY(),-260),"yyyy-mm-dd"))*100</f>
        <v>25.142014449005234</v>
      </c>
      <c r="L30" s="40" cm="1">
        <f t="array" aca="1" ref="L30" ca="1">_xll.TR(T30,"TR.MIDPRICE","SDate:"&amp;TEXT(WORKDAY(TODAY(),-5),"yyyy-mm-dd"))</f>
        <v>9.6771999999999991</v>
      </c>
      <c r="M30" s="13" cm="1">
        <f t="array" aca="1" ref="M30" ca="1">_xll.TR(T30,"TR.MIDPRICE","SDate:"&amp;TEXT(WORKDAY(TODAY(),-14),"yyyy-mm-dd"))</f>
        <v>9.8026999999999997</v>
      </c>
      <c r="N30" s="13" cm="1">
        <f t="array" ref="N30">-_xll.TR(T30,"PCTCHG_3M")</f>
        <v>-3.71</v>
      </c>
      <c r="O30" s="56" cm="1">
        <f t="array" ref="O30">-_xll.TR(T30,"PCTCHG_YTD")</f>
        <v>4.16</v>
      </c>
      <c r="P30" t="s">
        <v>71</v>
      </c>
      <c r="Q30" t="s">
        <v>113</v>
      </c>
      <c r="R30" cm="1">
        <f t="array" ref="R30">_xll.TR(Q30,"TR.PriceClose")</f>
        <v>2377.4899999999998</v>
      </c>
      <c r="S30" cm="1">
        <f t="array" aca="1" ref="S30" ca="1">_xll.TR(Q30,"TR.PriceClose","SDate:"&amp;TEXT(WORKDAY(TODAY(),-5),"yyyy-mm-dd"))</f>
        <v>2294.4499999999998</v>
      </c>
      <c r="T30" t="s">
        <v>142</v>
      </c>
      <c r="U30" s="9" cm="1">
        <f t="array" ref="U30">_xll.TR(T30,"BID")</f>
        <v>9.6399000000000008</v>
      </c>
      <c r="V30" s="9" cm="1">
        <f t="array" aca="1" ref="V30" ca="1">_xll.TR(T30,"CF_CLOSE","SDate:"&amp;TEXT(WORKDAY(TODAY(),-5),"yyyy-mm-dd"))</f>
        <v>9.5754999999999999</v>
      </c>
    </row>
    <row r="31" spans="1:22" ht="14" customHeight="1">
      <c r="A31" s="12" t="s">
        <v>35</v>
      </c>
      <c r="B31" s="50"/>
      <c r="C31" s="51">
        <f ca="1">'CDS from CapitalIQ'!C26</f>
        <v>50.9221</v>
      </c>
      <c r="D31" s="25">
        <f ca="1">'CDS from CapitalIQ'!T26</f>
        <v>-5.4000000000016257E-3</v>
      </c>
      <c r="E31" s="25">
        <f ca="1">'CDS from CapitalIQ'!V26</f>
        <v>0.36410000000000053</v>
      </c>
      <c r="F31" s="25">
        <f ca="1">'CDS from CapitalIQ'!W26</f>
        <v>-1.1306000000000012</v>
      </c>
      <c r="G31" s="41">
        <f ca="1">'CDS from CapitalIQ'!X26</f>
        <v>-14.687799999999996</v>
      </c>
      <c r="H31" s="40" cm="1">
        <f t="array" aca="1" ref="H31" ca="1">(_xll.TR(Q31,"TR.PriceClose")-_xll.TR(Q31,"TR.PriceClose","SDate:"&amp;TEXT(WORKDAY(TODAY(),-5),"yyyy-mm-dd")))/_xll.TR(Q31,"TR.PriceClose","SDate:"&amp;TEXT(WORKDAY(TODAY(),-5),"yyyy-mm-dd"))*100</f>
        <v>1.1080427572902722</v>
      </c>
      <c r="I31" s="13" cm="1">
        <f t="array" aca="1" ref="I31" ca="1">((_xll.TR(Q31,"TR.PriceClose")-_xll.TR(Q31,"TR.PriceClose","SDate:"&amp;TEXT(WORKDAY(TODAY(),-14),"yyyy-mm-dd")))/_xll.TR(Q31,"TR.PriceClose","SDate:"&amp;TEXT(WORKDAY(TODAY(),-14),"yyyy-mm-dd")))*100</f>
        <v>4.129154464995259</v>
      </c>
      <c r="J31" s="13" cm="1">
        <f t="array" aca="1" ref="J31" ca="1">(_xll.TR(Q31,"TRDPRC_1")-_xll.TR(Q31,"TR.PriceClose","SDate:"&amp;TEXT(WORKDAY(TODAY(),-65),"yyyy-mm-dd")))/_xll.TR(Q31,"TR.PriceClose","SDate:"&amp;TEXT(WORKDAY(TODAY(),-65),"yyyy-mm-dd"))*100</f>
        <v>8.6551049902235775</v>
      </c>
      <c r="K31" s="56" cm="1">
        <f t="array" aca="1" ref="K31" ca="1">(_xll.TR(Q31,"TRDPRC_1")-_xll.TR(Q31,"TR.PriceClose","SDate:"&amp;TEXT(WORKDAY(TODAY(),-260),"yyyy-mm-dd")))/_xll.TR(Q31,"TR.PriceClose","SDate:"&amp;TEXT(WORKDAY(TODAY(),-260),"yyyy-mm-dd"))*100</f>
        <v>31.918048579095853</v>
      </c>
      <c r="L31" s="40" cm="1">
        <f t="array" aca="1" ref="L31" ca="1">_xll.TR(T31,"TR.MIDPRICE","SDate:"&amp;TEXT(WORKDAY(TODAY(),-5),"yyyy-mm-dd"))</f>
        <v>3.7963</v>
      </c>
      <c r="M31" s="13" cm="1">
        <f t="array" aca="1" ref="M31" ca="1">_xll.TR(T31,"TR.MIDPRICE","SDate:"&amp;TEXT(WORKDAY(TODAY(),-14),"yyyy-mm-dd"))</f>
        <v>3.7691499999999998</v>
      </c>
      <c r="N31" s="13" cm="1">
        <f t="array" ref="N31">-_xll.TR(T31,"PCTCHG_3M")</f>
        <v>-4.96</v>
      </c>
      <c r="O31" s="56" cm="1">
        <f t="array" ref="O31">-_xll.TR(T31,"PCTCHG_YTD")</f>
        <v>-5.89</v>
      </c>
      <c r="P31" t="s">
        <v>72</v>
      </c>
      <c r="Q31" t="s">
        <v>114</v>
      </c>
      <c r="R31" cm="1">
        <f t="array" ref="R31">_xll.TR(Q31,"TR.PriceClose")</f>
        <v>3826.08</v>
      </c>
      <c r="S31" cm="1">
        <f t="array" aca="1" ref="S31" ca="1">_xll.TR(Q31,"TR.PriceClose","SDate:"&amp;TEXT(WORKDAY(TODAY(),-5),"yyyy-mm-dd"))</f>
        <v>3784.15</v>
      </c>
      <c r="T31" t="s">
        <v>143</v>
      </c>
      <c r="U31" s="9" cm="1">
        <f t="array" ref="U31">_xll.TR(T31,"BID")</f>
        <v>3.7953000000000001</v>
      </c>
      <c r="V31" s="9" cm="1">
        <f t="array" aca="1" ref="V31" ca="1">_xll.TR(T31,"CF_CLOSE","SDate:"&amp;TEXT(WORKDAY(TODAY(),-5),"yyyy-mm-dd"))</f>
        <v>3.7926000000000002</v>
      </c>
    </row>
    <row r="32" spans="1:22" ht="14" customHeight="1">
      <c r="A32" s="10" t="s">
        <v>36</v>
      </c>
      <c r="B32" s="49"/>
      <c r="C32" s="51">
        <f ca="1">'CDS from CapitalIQ'!C27</f>
        <v>6.6862000000000004</v>
      </c>
      <c r="D32" s="25">
        <f ca="1">'CDS from CapitalIQ'!T27</f>
        <v>-1.6799999999999926E-2</v>
      </c>
      <c r="E32" s="25">
        <f ca="1">'CDS from CapitalIQ'!V27</f>
        <v>-0.14309999999999956</v>
      </c>
      <c r="F32" s="25">
        <f ca="1">'CDS from CapitalIQ'!W27</f>
        <v>-1.3970999999999991</v>
      </c>
      <c r="G32" s="41">
        <f ca="1">'CDS from CapitalIQ'!X27</f>
        <v>-3.1753999999999989</v>
      </c>
      <c r="H32" s="40" cm="1">
        <f t="array" aca="1" ref="H32" ca="1">(_xll.TR(Q32,"TR.PriceClose")-_xll.TR(Q32,"TR.PriceClose","SDate:"&amp;TEXT(WORKDAY(TODAY(),-5),"yyyy-mm-dd")))/_xll.TR(Q32,"TR.PriceClose","SDate:"&amp;TEXT(WORKDAY(TODAY(),-5),"yyyy-mm-dd"))*100</f>
        <v>2.0937480157128401</v>
      </c>
      <c r="I32" s="13" cm="1">
        <f t="array" aca="1" ref="I32" ca="1">((_xll.TR(Q32,"TR.PriceClose")-_xll.TR(Q32,"TR.PriceClose","SDate:"&amp;TEXT(WORKDAY(TODAY(),-14),"yyyy-mm-dd")))/_xll.TR(Q32,"TR.PriceClose","SDate:"&amp;TEXT(WORKDAY(TODAY(),-14),"yyyy-mm-dd")))*100</f>
        <v>-0.18240740336339059</v>
      </c>
      <c r="J32" s="13" cm="1">
        <f t="array" aca="1" ref="J32" ca="1">(_xll.TR(Q32,"TRDPRC_1")-_xll.TR(Q32,"TR.PriceClose","SDate:"&amp;TEXT(WORKDAY(TODAY(),-65),"yyyy-mm-dd")))/_xll.TR(Q32,"TR.PriceClose","SDate:"&amp;TEXT(WORKDAY(TODAY(),-65),"yyyy-mm-dd"))*100</f>
        <v>4.4851294989374111</v>
      </c>
      <c r="K32" s="56" cm="1">
        <f t="array" aca="1" ref="K32" ca="1">(_xll.TR(Q32,"TRDPRC_1")-_xll.TR(Q32,"TR.PriceClose","SDate:"&amp;TEXT(WORKDAY(TODAY(),-260),"yyyy-mm-dd")))/_xll.TR(Q32,"TR.PriceClose","SDate:"&amp;TEXT(WORKDAY(TODAY(),-260),"yyyy-mm-dd"))*100</f>
        <v>24.267028333345564</v>
      </c>
      <c r="L32" s="40" cm="1">
        <f t="array" aca="1" ref="L32" ca="1">_xll.TR(T32,"TR.MIDPRICE","SDate:"&amp;TEXT(WORKDAY(TODAY(),-5),"yyyy-mm-dd"))</f>
        <v>9.6816999999999993</v>
      </c>
      <c r="M32" s="13" cm="1">
        <f t="array" aca="1" ref="M32" ca="1">_xll.TR(T32,"TR.MIDPRICE","SDate:"&amp;TEXT(WORKDAY(TODAY(),-14),"yyyy-mm-dd"))</f>
        <v>9.6949500000000004</v>
      </c>
      <c r="N32" s="13" cm="1">
        <f t="array" ref="N32">-_xll.TR(T32,"PCTCHG_3M")</f>
        <v>-5.53</v>
      </c>
      <c r="O32" s="56" cm="1">
        <f t="array" ref="O32">-_xll.TR(T32,"PCTCHG_YTD")</f>
        <v>-5.6</v>
      </c>
      <c r="P32" t="s">
        <v>73</v>
      </c>
      <c r="Q32" t="s">
        <v>115</v>
      </c>
      <c r="R32" cm="1">
        <f t="array" ref="R32">_xll.TR(Q32,"TR.PriceClose")</f>
        <v>3199.6149999999998</v>
      </c>
      <c r="S32" cm="1">
        <f t="array" aca="1" ref="S32" ca="1">_xll.TR(Q32,"TR.PriceClose","SDate:"&amp;TEXT(WORKDAY(TODAY(),-5),"yyyy-mm-dd"))</f>
        <v>3133.9969999999998</v>
      </c>
      <c r="T32" t="s">
        <v>144</v>
      </c>
      <c r="U32" s="9" cm="1">
        <f t="array" ref="U32">_xll.TR(T32,"BID")</f>
        <v>9.7141999999999999</v>
      </c>
      <c r="V32" s="9" cm="1">
        <f t="array" aca="1" ref="V32" ca="1">_xll.TR(T32,"CF_CLOSE","SDate:"&amp;TEXT(WORKDAY(TODAY(),-5),"yyyy-mm-dd"))</f>
        <v>9.7124000000000006</v>
      </c>
    </row>
    <row r="33" spans="1:23" ht="14" customHeight="1">
      <c r="A33" s="12" t="s">
        <v>37</v>
      </c>
      <c r="B33" s="50"/>
      <c r="C33" s="51">
        <f ca="1">'CDS from CapitalIQ'!C28</f>
        <v>7.2470999999999997</v>
      </c>
      <c r="D33" s="25">
        <f ca="1">'CDS from CapitalIQ'!T28</f>
        <v>4.0999999999993264E-3</v>
      </c>
      <c r="E33" s="25">
        <f ca="1">'CDS from CapitalIQ'!V28</f>
        <v>6.2999999999995282E-3</v>
      </c>
      <c r="F33" s="25">
        <f ca="1">'CDS from CapitalIQ'!W28</f>
        <v>-0.63390000000000057</v>
      </c>
      <c r="G33" s="41">
        <f ca="1">'CDS from CapitalIQ'!X28</f>
        <v>-0.75290000000000035</v>
      </c>
      <c r="H33" s="40" cm="1">
        <f t="array" aca="1" ref="H33" ca="1">(_xll.TR(Q33,"TR.PriceClose")-_xll.TR(Q33,"TR.PriceClose","SDate:"&amp;TEXT(WORKDAY(TODAY(),-5),"yyyy-mm-dd")))/_xll.TR(Q33,"TR.PriceClose","SDate:"&amp;TEXT(WORKDAY(TODAY(),-5),"yyyy-mm-dd"))*100</f>
        <v>0.51100154619358673</v>
      </c>
      <c r="I33" s="13" cm="1">
        <f t="array" aca="1" ref="I33" ca="1">((_xll.TR(Q33,"TR.PriceClose")-_xll.TR(Q33,"TR.PriceClose","SDate:"&amp;TEXT(WORKDAY(TODAY(),-14),"yyyy-mm-dd")))/_xll.TR(Q33,"TR.PriceClose","SDate:"&amp;TEXT(WORKDAY(TODAY(),-14),"yyyy-mm-dd")))*100</f>
        <v>-0.23153870526341444</v>
      </c>
      <c r="J33" s="13" cm="1">
        <f t="array" aca="1" ref="J33" ca="1">(_xll.TR(Q33,"TRDPRC_1")-_xll.TR(Q33,"TR.PriceClose","SDate:"&amp;TEXT(WORKDAY(TODAY(),-65),"yyyy-mm-dd")))/_xll.TR(Q33,"TR.PriceClose","SDate:"&amp;TEXT(WORKDAY(TODAY(),-65),"yyyy-mm-dd"))*100</f>
        <v>9.5459023503577214</v>
      </c>
      <c r="K33" s="56" cm="1">
        <f t="array" aca="1" ref="K33" ca="1">(_xll.TR(Q33,"TRDPRC_1")-_xll.TR(Q33,"TR.PriceClose","SDate:"&amp;TEXT(WORKDAY(TODAY(),-260),"yyyy-mm-dd")))/_xll.TR(Q33,"TR.PriceClose","SDate:"&amp;TEXT(WORKDAY(TODAY(),-260),"yyyy-mm-dd"))*100</f>
        <v>21.04096114545171</v>
      </c>
      <c r="L33" s="40" cm="1">
        <f t="array" aca="1" ref="L33" ca="1">_xll.TR(T33,"TR.MIDPRICE","SDate:"&amp;TEXT(WORKDAY(TODAY(),-5),"yyyy-mm-dd"))</f>
        <v>0.81010000000000004</v>
      </c>
      <c r="M33" s="13" cm="1">
        <f t="array" aca="1" ref="M33" ca="1">_xll.TR(T33,"TR.MIDPRICE","SDate:"&amp;TEXT(WORKDAY(TODAY(),-14),"yyyy-mm-dd"))</f>
        <v>0.80805000000000005</v>
      </c>
      <c r="N33" s="13" cm="1">
        <f t="array" ref="N33">-_xll.TR(T33,"PCTCHG_3M")</f>
        <v>-4.3</v>
      </c>
      <c r="O33" s="56" cm="1">
        <f t="array" ref="O33">-_xll.TR(T33,"PCTCHG_YTD")</f>
        <v>-3.26</v>
      </c>
      <c r="P33" t="s">
        <v>74</v>
      </c>
      <c r="Q33" t="s">
        <v>116</v>
      </c>
      <c r="R33" cm="1">
        <f t="array" ref="R33">_xll.TR(Q33,"TR.PriceClose")</f>
        <v>14327.2</v>
      </c>
      <c r="S33" cm="1">
        <f t="array" aca="1" ref="S33" ca="1">_xll.TR(Q33,"TR.PriceClose","SDate:"&amp;TEXT(WORKDAY(TODAY(),-5),"yyyy-mm-dd"))</f>
        <v>14254.36</v>
      </c>
      <c r="T33" t="s">
        <v>145</v>
      </c>
      <c r="U33" s="9" cm="1">
        <f t="array" ref="U33">_xll.TR(T33,"BID")</f>
        <v>0.81810000000000005</v>
      </c>
      <c r="V33" s="9" cm="1">
        <f t="array" aca="1" ref="V33" ca="1">_xll.TR(T33,"CF_CLOSE","SDate:"&amp;TEXT(WORKDAY(TODAY(),-5),"yyyy-mm-dd"))</f>
        <v>0.81810000000000005</v>
      </c>
    </row>
    <row r="34" spans="1:23" ht="14" customHeight="1">
      <c r="A34" s="30" t="s">
        <v>38</v>
      </c>
      <c r="B34" s="49"/>
      <c r="C34" s="51">
        <f ca="1">'CDS from CapitalIQ'!C29</f>
        <v>777.16240000000005</v>
      </c>
      <c r="D34" s="25">
        <f ca="1">'CDS from CapitalIQ'!T29</f>
        <v>15.070100000000025</v>
      </c>
      <c r="E34" s="25">
        <f ca="1">'CDS from CapitalIQ'!V29</f>
        <v>16.715100000000007</v>
      </c>
      <c r="F34" s="25">
        <f ca="1">'CDS from CapitalIQ'!W29</f>
        <v>4.2977000000000771</v>
      </c>
      <c r="G34" s="41">
        <f ca="1">'CDS from CapitalIQ'!X29</f>
        <v>-14010.1669</v>
      </c>
      <c r="H34" s="40" t="e" cm="1">
        <f t="array" aca="1" ref="H34" ca="1">(_xll.TR(Q34,"TR.PriceClose")-_xll.TR(Q34,"TR.PriceClose","SDate:"&amp;TEXT(WORKDAY(TODAY(),-5),"yyyy-mm-dd")))/_xll.TR(Q34,"TR.PriceClose","SDate:"&amp;TEXT(WORKDAY(TODAY(),-5),"yyyy-mm-dd"))*100</f>
        <v>#VALUE!</v>
      </c>
      <c r="I34" s="13" t="e" cm="1">
        <f t="array" aca="1" ref="I34" ca="1">((_xll.TR(Q34,"TR.PriceClose")-_xll.TR(Q34,"TR.PriceClose","SDate:"&amp;TEXT(WORKDAY(TODAY(),-14),"yyyy-mm-dd")))/_xll.TR(Q34,"TR.PriceClose","SDate:"&amp;TEXT(WORKDAY(TODAY(),-14),"yyyy-mm-dd")))*100</f>
        <v>#VALUE!</v>
      </c>
      <c r="J34" s="13" t="str" cm="1">
        <f t="array" aca="1" ref="J34" ca="1">IFERROR(((_xll.TR(Q34,"TR.PriceClose")-_xll.TR(Q34,"TR.PriceClose","SDate:"&amp;EDATE(TODAY(),-3)))/_xll.TR(Q34,"TR.PriceClose","SDate:"&amp;EDATE(TODAY(),-3)))*100,"-")</f>
        <v>-</v>
      </c>
      <c r="K34" s="56" t="e" cm="1">
        <f t="array" aca="1" ref="K34" ca="1">(_xll.TR(Q34,"TRDPRC_1")-_xll.TR(Q34,"TR.PriceClose","SDate:"&amp;TEXT(WORKDAY(TODAY(),-260),"yyyy-mm-dd")))/_xll.TR(Q34,"TR.PriceClose","SDate:"&amp;TEXT(WORKDAY(TODAY(),-260),"yyyy-mm-dd"))*100</f>
        <v>#VALUE!</v>
      </c>
      <c r="L34" s="40" cm="1">
        <f t="array" aca="1" ref="L34" ca="1">(_xll.TR(T34,"CF_CLOSE")-_xll.TR(T34,"CF_CLOSE","SDate:"&amp;TEXT(WORKDAY(TODAY(),-5),"yyyy-mm-dd")))/_xll.TR(T34,"CF_CLOSE","SDate:"&amp;TEXT(WORKDAY(TODAY(),-5),"yyyy-mm-dd"))</f>
        <v>0</v>
      </c>
      <c r="M34" s="13" cm="1">
        <f t="array" aca="1" ref="M34" ca="1">_xll.TR(T34,"TR.MIDPRICE","SDate:"&amp;TEXT(WORKDAY(TODAY(),-14),"yyyy-mm-dd"))</f>
        <v>44.382599999999996</v>
      </c>
      <c r="N34" s="13" cm="1">
        <f t="array" ref="N34">-_xll.TR(T34,"PCTCHG_3M")</f>
        <v>-2.12</v>
      </c>
      <c r="O34" s="56" cm="1">
        <f t="array" ref="O34">-_xll.TR(T34,"PCTCHG_YTD")</f>
        <v>-6.73</v>
      </c>
      <c r="P34" t="s">
        <v>75</v>
      </c>
      <c r="Q34" t="s">
        <v>117</v>
      </c>
      <c r="T34" t="s">
        <v>146</v>
      </c>
      <c r="U34" s="9" cm="1">
        <f t="array" ref="U34">_xll.TR(T34,"BID")</f>
        <v>44.880699999999997</v>
      </c>
      <c r="V34" s="9" cm="1">
        <f t="array" aca="1" ref="V34" ca="1">_xll.TR(T34,"CF_CLOSE","SDate:"&amp;TEXT(WORKDAY(TODAY(),-5),"yyyy-mm-dd"))</f>
        <v>44.816200000000002</v>
      </c>
    </row>
    <row r="35" spans="1:23" ht="14" customHeight="1">
      <c r="A35" s="70" t="s">
        <v>39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U35" s="9"/>
      <c r="V35" s="9"/>
    </row>
    <row r="36" spans="1:23" ht="14" customHeight="1">
      <c r="A36" s="12" t="s">
        <v>40</v>
      </c>
      <c r="B36" s="50"/>
      <c r="C36" s="51">
        <f ca="1">'CDS from CapitalIQ'!C31</f>
        <v>14.6816</v>
      </c>
      <c r="D36" s="25">
        <f ca="1">'CDS from CapitalIQ'!T31</f>
        <v>0.52089999999999925</v>
      </c>
      <c r="E36" s="25">
        <f ca="1">'CDS from CapitalIQ'!V31</f>
        <v>0.77439999999999998</v>
      </c>
      <c r="F36" s="25">
        <f ca="1">'CDS from CapitalIQ'!W31</f>
        <v>0.42659999999999876</v>
      </c>
      <c r="G36" s="41">
        <f ca="1">'CDS from CapitalIQ'!X31</f>
        <v>3.998899999999999</v>
      </c>
      <c r="H36" s="42" cm="1">
        <f t="array" aca="1" ref="H36" ca="1">(_xll.TR(Q36,"TR.PriceClose")-_xll.TR(Q36,"TR.PriceClose","SDate:"&amp;TEXT(WORKDAY(TODAY(),-5),"yyyy-mm-dd")))/_xll.TR(Q36,"TR.PriceClose","SDate:"&amp;TEXT(WORKDAY(TODAY(),-5),"yyyy-mm-dd"))*100</f>
        <v>1.1682003799210667</v>
      </c>
      <c r="I36" s="13" cm="1">
        <f t="array" aca="1" ref="I36" ca="1">((_xll.TR(Q36,"TR.PriceClose")-_xll.TR(Q36,"TR.PriceClose","SDate:"&amp;TEXT(WORKDAY(TODAY(),-14),"yyyy-mm-dd")))/_xll.TR(Q36,"TR.PriceClose","SDate:"&amp;TEXT(WORKDAY(TODAY(),-14),"yyyy-mm-dd")))*100</f>
        <v>1.0234100796238073</v>
      </c>
      <c r="J36" s="13" cm="1">
        <f t="array" aca="1" ref="J36" ca="1">(_xll.TR(Q36,"TRDPRC_1")-_xll.TR(Q36,"TR.PriceClose","SDate:"&amp;TEXT(WORKDAY(TODAY(),-65),"yyyy-mm-dd")))/_xll.TR(Q36,"TR.PriceClose","SDate:"&amp;TEXT(WORKDAY(TODAY(),-65),"yyyy-mm-dd"))*100</f>
        <v>1.4555575835006429</v>
      </c>
      <c r="K36" s="56" cm="1">
        <f t="array" aca="1" ref="K36" ca="1">(_xll.TR(Q36,"TR.PriceClose")-_xll.TR(Q36,"TR.PriceClose","SDate:"&amp;TEXT(WORKDAY(TODAY(),-260),"yyyy-mm-dd")))/_xll.TR(Q36,"TR.PriceClose","SDate:"&amp;TEXT(WORKDAY(TODAY(),-260),"yyyy-mm-dd"))*100</f>
        <v>2.2569184956942556</v>
      </c>
      <c r="L36" s="40" cm="1">
        <f t="array" aca="1" ref="L36" ca="1">_xll.TR(T36,"TR.MIDPRICE","SDate:"&amp;TEXT(WORKDAY(TODAY(),-5),"yyyy-mm-dd"))</f>
        <v>0.69969999999999999</v>
      </c>
      <c r="M36" s="13" cm="1">
        <f t="array" aca="1" ref="M36" ca="1">_xll.TR(T36,"TR.MIDPRICE","SDate:"&amp;TEXT(WORKDAY(TODAY(),-14),"yyyy-mm-dd"))</f>
        <v>0.69284999999999997</v>
      </c>
      <c r="N36" s="13" cm="1">
        <f t="array" ref="N36">-_xll.TR(T36,"PCTCHG_3M")</f>
        <v>2.15</v>
      </c>
      <c r="O36" s="56" cm="1">
        <f t="array" ref="O36">-_xll.TR(T36,"PCTCHG_YTD")</f>
        <v>-4.83</v>
      </c>
      <c r="P36" t="s">
        <v>76</v>
      </c>
      <c r="Q36" t="s">
        <v>120</v>
      </c>
      <c r="R36" cm="1">
        <f t="array" ref="R36">_xll.TR(Q36,"TR.PriceClose")</f>
        <v>8894</v>
      </c>
      <c r="S36" cm="1">
        <f t="array" aca="1" ref="S36" ca="1">_xll.TR(Q36,"TR.PriceClose","SDate:"&amp;TEXT(WORKDAY(TODAY(),-5),"yyyy-mm-dd"))</f>
        <v>8791.2999999999993</v>
      </c>
      <c r="T36" t="s">
        <v>147</v>
      </c>
      <c r="U36" s="9" cm="1">
        <f t="array" ref="U36">_xll.TR(T36,"BID")</f>
        <v>0.69940000000000002</v>
      </c>
      <c r="V36" s="9" cm="1">
        <f t="array" aca="1" ref="V36" ca="1">_xll.TR(T36,"CF_CLOSE","SDate:"&amp;TEXT(WORKDAY(TODAY(),-5),"yyyy-mm-dd"))</f>
        <v>0.69789999999999996</v>
      </c>
      <c r="W36" s="19"/>
    </row>
    <row r="37" spans="1:23" ht="14" customHeight="1">
      <c r="A37" s="10" t="s">
        <v>41</v>
      </c>
      <c r="B37" s="49"/>
      <c r="C37" s="51">
        <f ca="1">'CDS from CapitalIQ'!C32</f>
        <v>38.546199999999999</v>
      </c>
      <c r="D37" s="25">
        <f ca="1">'CDS from CapitalIQ'!T32</f>
        <v>0.80469999999999686</v>
      </c>
      <c r="E37" s="25">
        <f ca="1">'CDS from CapitalIQ'!V32</f>
        <v>1.1473000000000013</v>
      </c>
      <c r="F37" s="25">
        <f ca="1">'CDS from CapitalIQ'!W32</f>
        <v>-5.5455000000000041</v>
      </c>
      <c r="G37" s="41">
        <f ca="1">'CDS from CapitalIQ'!X32</f>
        <v>-2.3336000000000041</v>
      </c>
      <c r="H37" s="42" cm="1">
        <f t="array" aca="1" ref="H37" ca="1">(_xll.TR(Q37,"TR.PriceClose")-_xll.TR(Q37,"TR.PriceClose","SDate:"&amp;TEXT(WORKDAY(TODAY(),-5),"yyyy-mm-dd")))/_xll.TR(Q37,"TR.PriceClose","SDate:"&amp;TEXT(WORKDAY(TODAY(),-5),"yyyy-mm-dd"))*100</f>
        <v>1.6322183071044221</v>
      </c>
      <c r="I37" s="13" cm="1">
        <f t="array" aca="1" ref="I37" ca="1">((_xll.TR(Q37,"TR.PriceClose")-_xll.TR(Q37,"TR.PriceClose","SDate:"&amp;TEXT(WORKDAY(TODAY(),-14),"yyyy-mm-dd")))/_xll.TR(Q37,"TR.PriceClose","SDate:"&amp;TEXT(WORKDAY(TODAY(),-14),"yyyy-mm-dd")))*100</f>
        <v>-3.3078324979982998</v>
      </c>
      <c r="J37" s="13" cm="1">
        <f t="array" aca="1" ref="J37" ca="1">(_xll.TR(Q37,"TRDPRC_1")-_xll.TR(Q37,"TR.PriceClose","SDate:"&amp;TEXT(WORKDAY(TODAY(),-65),"yyyy-mm-dd")))/_xll.TR(Q37,"TR.PriceClose","SDate:"&amp;TEXT(WORKDAY(TODAY(),-65),"yyyy-mm-dd"))*100</f>
        <v>-5.5819869505853204</v>
      </c>
      <c r="K37" s="56" cm="1">
        <f t="array" aca="1" ref="K37" ca="1">(_xll.TR(Q37,"TR.PriceClose")-_xll.TR(Q37,"TR.PriceClose","SDate:"&amp;TEXT(WORKDAY(TODAY(),-260),"yyyy-mm-dd")))/_xll.TR(Q37,"TR.PriceClose","SDate:"&amp;TEXT(WORKDAY(TODAY(),-260),"yyyy-mm-dd"))*100</f>
        <v>7.2349267715061849</v>
      </c>
      <c r="L37" s="40" cm="1">
        <f t="array" aca="1" ref="L37" ca="1">_xll.TR(T37,"TR.MIDPRICE","SDate:"&amp;TEXT(WORKDAY(TODAY(),-5),"yyyy-mm-dd"))</f>
        <v>6.7669499999999996</v>
      </c>
      <c r="M37" s="13" cm="1">
        <f t="array" aca="1" ref="M37" ca="1">_xll.TR(T37,"TR.MIDPRICE","SDate:"&amp;TEXT(WORKDAY(TODAY(),-14),"yyyy-mm-dd"))</f>
        <v>6.7941500000000001</v>
      </c>
      <c r="N37" s="13" cm="1">
        <f t="array" ref="N37">-_xll.TR(T37,"PCTCHG_3M")</f>
        <v>1.03</v>
      </c>
      <c r="O37" s="56" cm="1">
        <f t="array" ref="O37">-_xll.TR(T37,"PCTCHG_YTD")</f>
        <v>3.25</v>
      </c>
      <c r="P37" t="s">
        <v>77</v>
      </c>
      <c r="Q37" t="s">
        <v>121</v>
      </c>
      <c r="R37" cm="1">
        <f t="array" ref="R37">_xll.TR(Q37,"TR.PriceClose")</f>
        <v>3858.2449999999999</v>
      </c>
      <c r="S37" cm="1">
        <f t="array" aca="1" ref="S37" ca="1">_xll.TR(Q37,"TR.PriceClose","SDate:"&amp;TEXT(WORKDAY(TODAY(),-5),"yyyy-mm-dd"))</f>
        <v>3796.2813999999998</v>
      </c>
      <c r="T37" t="s">
        <v>148</v>
      </c>
      <c r="U37" s="9" cm="1">
        <f t="array" ref="U37">_xll.TR(T37,"BID")</f>
        <v>6.7656999999999998</v>
      </c>
      <c r="V37" s="9" cm="1">
        <f t="array" aca="1" ref="V37" ca="1">_xll.TR(T37,"CF_CLOSE","SDate:"&amp;TEXT(WORKDAY(TODAY(),-5),"yyyy-mm-dd"))</f>
        <v>6.7718999999999996</v>
      </c>
      <c r="W37" s="19"/>
    </row>
    <row r="38" spans="1:23" ht="14" customHeight="1">
      <c r="A38" s="12" t="s">
        <v>42</v>
      </c>
      <c r="B38" s="50"/>
      <c r="C38" s="51">
        <f ca="1">'CDS from CapitalIQ'!C33</f>
        <v>24.8871</v>
      </c>
      <c r="D38" s="25">
        <f ca="1">'CDS from CapitalIQ'!T33</f>
        <v>-2.2400000000001086E-2</v>
      </c>
      <c r="E38" s="25">
        <f ca="1">'CDS from CapitalIQ'!V33</f>
        <v>9.100000000000108E-3</v>
      </c>
      <c r="F38" s="25">
        <f ca="1">'CDS from CapitalIQ'!W33</f>
        <v>-1.1213000000000015</v>
      </c>
      <c r="G38" s="41">
        <f ca="1">'CDS from CapitalIQ'!X33</f>
        <v>-8.6806999999999981</v>
      </c>
      <c r="H38" s="42" cm="1">
        <f t="array" aca="1" ref="H38" ca="1">(_xll.TR(Q38,"TR.PriceClose")-_xll.TR(Q38,"TR.PriceClose","SDate:"&amp;TEXT(WORKDAY(TODAY(),-5),"yyyy-mm-dd")))/_xll.TR(Q38,"TR.PriceClose","SDate:"&amp;TEXT(WORKDAY(TODAY(),-5),"yyyy-mm-dd"))*100</f>
        <v>0.25506054356969832</v>
      </c>
      <c r="I38" s="13" cm="1">
        <f t="array" aca="1" ref="I38" ca="1">((_xll.TR(Q38,"TR.PriceClose")-_xll.TR(Q38,"TR.PriceClose","SDate:"&amp;TEXT(WORKDAY(TODAY(),-14),"yyyy-mm-dd")))/_xll.TR(Q38,"TR.PriceClose","SDate:"&amp;TEXT(WORKDAY(TODAY(),-14),"yyyy-mm-dd")))*100</f>
        <v>7.2787930658057345</v>
      </c>
      <c r="J38" s="13" cm="1">
        <f t="array" aca="1" ref="J38" ca="1">(_xll.TR(Q38,"TRDPRC_1")-_xll.TR(Q38,"TR.PriceClose","SDate:"&amp;TEXT(WORKDAY(TODAY(),-65),"yyyy-mm-dd")))/_xll.TR(Q38,"TR.PriceClose","SDate:"&amp;TEXT(WORKDAY(TODAY(),-65),"yyyy-mm-dd"))*100</f>
        <v>-2.7712709228119685</v>
      </c>
      <c r="K38" s="56" cm="1">
        <f t="array" aca="1" ref="K38" ca="1">(_xll.TR(Q38,"TR.PriceClose")-_xll.TR(Q38,"TR.PriceClose","SDate:"&amp;TEXT(WORKDAY(TODAY(),-260),"yyyy-mm-dd")))/_xll.TR(Q38,"TR.PriceClose","SDate:"&amp;TEXT(WORKDAY(TODAY(),-260),"yyyy-mm-dd"))*100</f>
        <v>-1.3885775559391986</v>
      </c>
      <c r="L38" s="40" cm="1">
        <f t="array" aca="1" ref="L38" ca="1">_xll.TR(T38,"TR.MIDPRICE","SDate:"&amp;TEXT(WORKDAY(TODAY(),-5),"yyyy-mm-dd"))</f>
        <v>7.8411</v>
      </c>
      <c r="M38" s="13" cm="1">
        <f t="array" aca="1" ref="M38" ca="1">_xll.TR(T38,"TR.MIDPRICE","SDate:"&amp;TEXT(WORKDAY(TODAY(),-14),"yyyy-mm-dd"))</f>
        <v>7.8417500000000002</v>
      </c>
      <c r="N38" s="13" cm="1">
        <f t="array" ref="N38">-_xll.TR(T38,"PCTCHG_3M")</f>
        <v>-0.09</v>
      </c>
      <c r="O38" s="56" cm="1">
        <f t="array" ref="O38">-_xll.TR(T38,"PCTCHG_YTD")</f>
        <v>-0.77</v>
      </c>
      <c r="P38" t="s">
        <v>78</v>
      </c>
      <c r="Q38" t="s">
        <v>122</v>
      </c>
      <c r="R38" cm="1">
        <f t="array" ref="R38">_xll.TR(Q38,"TR.PriceClose")</f>
        <v>25207.18</v>
      </c>
      <c r="S38" cm="1">
        <f t="array" aca="1" ref="S38" ca="1">_xll.TR(Q38,"TR.PriceClose","SDate:"&amp;TEXT(WORKDAY(TODAY(),-5),"yyyy-mm-dd"))</f>
        <v>25143.05</v>
      </c>
      <c r="T38" t="s">
        <v>149</v>
      </c>
      <c r="U38" s="9" cm="1">
        <f t="array" ref="U38">_xll.TR(T38,"BID")</f>
        <v>7.8418999999999999</v>
      </c>
      <c r="V38" s="9" cm="1">
        <f t="array" aca="1" ref="V38" ca="1">_xll.TR(T38,"CF_CLOSE","SDate:"&amp;TEXT(WORKDAY(TODAY(),-5),"yyyy-mm-dd"))</f>
        <v>7.8417000000000003</v>
      </c>
      <c r="W38" s="19"/>
    </row>
    <row r="39" spans="1:23" ht="14" customHeight="1">
      <c r="A39" s="10" t="s">
        <v>43</v>
      </c>
      <c r="B39" s="49"/>
      <c r="C39" s="51">
        <f ca="1">'CDS from CapitalIQ'!C34</f>
        <v>0</v>
      </c>
      <c r="D39" s="25">
        <f ca="1">'CDS from CapitalIQ'!T34</f>
        <v>0</v>
      </c>
      <c r="E39" s="25">
        <f ca="1">'CDS from CapitalIQ'!V34</f>
        <v>0</v>
      </c>
      <c r="F39" s="25">
        <f ca="1">'CDS from CapitalIQ'!W34</f>
        <v>0</v>
      </c>
      <c r="G39" s="41">
        <f ca="1">'CDS from CapitalIQ'!X34</f>
        <v>-46.486499999999999</v>
      </c>
      <c r="H39" s="42" cm="1">
        <f t="array" aca="1" ref="H39" ca="1">(_xll.TR(Q39,"TR.PriceClose")-_xll.TR(Q39,"TR.PriceClose","SDate:"&amp;TEXT(WORKDAY(TODAY(),-5),"yyyy-mm-dd")))/_xll.TR(Q39,"TR.PriceClose","SDate:"&amp;TEXT(WORKDAY(TODAY(),-5),"yyyy-mm-dd"))*100</f>
        <v>-1.1230943531031155</v>
      </c>
      <c r="I39" s="13" cm="1">
        <f t="array" aca="1" ref="I39" ca="1">((_xll.TR(Q39,"TR.PriceClose")-_xll.TR(Q39,"TR.PriceClose","SDate:"&amp;TEXT(WORKDAY(TODAY(),-14),"yyyy-mm-dd")))/_xll.TR(Q39,"TR.PriceClose","SDate:"&amp;TEXT(WORKDAY(TODAY(),-14),"yyyy-mm-dd")))*100</f>
        <v>-1.7202962571846387</v>
      </c>
      <c r="J39" s="13" cm="1">
        <f t="array" aca="1" ref="J39" ca="1">(_xll.TR(Q39,"TRDPRC_1")-_xll.TR(Q39,"TR.PriceClose","SDate:"&amp;TEXT(WORKDAY(TODAY(),-65),"yyyy-mm-dd")))/_xll.TR(Q39,"TR.PriceClose","SDate:"&amp;TEXT(WORKDAY(TODAY(),-65),"yyyy-mm-dd"))*100</f>
        <v>-0.60521090665471433</v>
      </c>
      <c r="K39" s="56" cm="1">
        <f t="array" aca="1" ref="K39" ca="1">(_xll.TR(Q39,"TR.PriceClose")-_xll.TR(Q39,"TR.PriceClose","SDate:"&amp;TEXT(WORKDAY(TODAY(),-260),"yyyy-mm-dd")))/_xll.TR(Q39,"TR.PriceClose","SDate:"&amp;TEXT(WORKDAY(TODAY(),-260),"yyyy-mm-dd"))*100</f>
        <v>-5.0132140749368777</v>
      </c>
      <c r="L39" s="40" cm="1">
        <f t="array" aca="1" ref="L39" ca="1">_xll.TR(T39,"TR.MIDPRICE","SDate:"&amp;TEXT(WORKDAY(TODAY(),-5),"yyyy-mm-dd"))</f>
        <v>96.45</v>
      </c>
      <c r="M39" s="13" cm="1">
        <f t="array" aca="1" ref="M39" ca="1">_xll.TR(T39,"TR.MIDPRICE","SDate:"&amp;TEXT(WORKDAY(TODAY(),-14),"yyyy-mm-dd"))</f>
        <v>94.97</v>
      </c>
      <c r="N39" s="13" cm="1">
        <f t="array" ref="N39">-_xll.TR(T39,"PCTCHG_3M")</f>
        <v>-1.77</v>
      </c>
      <c r="O39" s="56" cm="1">
        <f t="array" ref="O39">-_xll.TR(T39,"PCTCHG_YTD")</f>
        <v>-6.74</v>
      </c>
      <c r="P39" t="s">
        <v>79</v>
      </c>
      <c r="Q39" t="s">
        <v>123</v>
      </c>
      <c r="R39" cm="1">
        <f t="array" ref="R39">_xll.TR(Q39,"TR.PriceClose")</f>
        <v>76835.78</v>
      </c>
      <c r="S39" cm="1">
        <f t="array" aca="1" ref="S39" ca="1">_xll.TR(Q39,"TR.PriceClose","SDate:"&amp;TEXT(WORKDAY(TODAY(),-5),"yyyy-mm-dd"))</f>
        <v>77708.52</v>
      </c>
      <c r="T39" t="s">
        <v>150</v>
      </c>
      <c r="U39" s="9" cm="1">
        <f t="array" ref="U39">_xll.TR(T39,"BID")</f>
        <v>95.91</v>
      </c>
      <c r="V39" s="9" cm="1">
        <f t="array" aca="1" ref="V39" ca="1">_xll.TR(T39,"CF_CLOSE","SDate:"&amp;TEXT(WORKDAY(TODAY(),-5),"yyyy-mm-dd"))</f>
        <v>96.5625</v>
      </c>
      <c r="W39" s="19"/>
    </row>
    <row r="40" spans="1:23" ht="14" customHeight="1">
      <c r="A40" s="12" t="s">
        <v>44</v>
      </c>
      <c r="B40" s="50"/>
      <c r="C40" s="51">
        <f ca="1">'CDS from CapitalIQ'!C35</f>
        <v>27.112300000000001</v>
      </c>
      <c r="D40" s="25">
        <f ca="1">'CDS from CapitalIQ'!T35</f>
        <v>0.19260000000000232</v>
      </c>
      <c r="E40" s="25">
        <f ca="1">'CDS from CapitalIQ'!V35</f>
        <v>0.43320000000000292</v>
      </c>
      <c r="F40" s="25">
        <f ca="1">'CDS from CapitalIQ'!W35</f>
        <v>-4.5999999999999375E-2</v>
      </c>
      <c r="G40" s="41">
        <f ca="1">'CDS from CapitalIQ'!X35</f>
        <v>6.0412999999999997</v>
      </c>
      <c r="H40" s="42" cm="1">
        <f t="array" aca="1" ref="H40" ca="1">(_xll.TR(Q40,"TR.PriceClose")-_xll.TR(Q40,"TR.PriceClose","SDate:"&amp;TEXT(WORKDAY(TODAY(),-5),"yyyy-mm-dd")))/_xll.TR(Q40,"TR.PriceClose","SDate:"&amp;TEXT(WORKDAY(TODAY(),-5),"yyyy-mm-dd"))*100</f>
        <v>1.2317683258415191</v>
      </c>
      <c r="I40" s="13" cm="1">
        <f t="array" aca="1" ref="I40" ca="1">((_xll.TR(Q40,"TR.PriceClose")-_xll.TR(Q40,"TR.PriceClose","SDate:"&amp;TEXT(WORKDAY(TODAY(),-14),"yyyy-mm-dd")))/_xll.TR(Q40,"TR.PriceClose","SDate:"&amp;TEXT(WORKDAY(TODAY(),-14),"yyyy-mm-dd")))*100</f>
        <v>-4.8724261965373259</v>
      </c>
      <c r="J40" s="13" cm="1">
        <f t="array" aca="1" ref="J40" ca="1">IFERROR(((_xll.TR(Q40,"TR.PriceClose")-_xll.TR(Q40,"TR.PriceClose","SDate:"&amp;EDATE(TODAY(),-3)))/_xll.TR(Q40,"TR.PriceClose","SDate:"&amp;EDATE(TODAY(),-3)))*100,"-")</f>
        <v>7.2580469316798775</v>
      </c>
      <c r="K40" s="56" cm="1">
        <f t="array" aca="1" ref="K40" ca="1">(_xll.TR(Q40,"TR.PriceClose")-_xll.TR(Q40,"TR.PriceClose","SDate:"&amp;TEXT(WORKDAY(TODAY(),-260),"yyyy-mm-dd")))/_xll.TR(Q40,"TR.PriceClose","SDate:"&amp;TEXT(WORKDAY(TODAY(),-260),"yyyy-mm-dd"))*100</f>
        <v>58.375438768513909</v>
      </c>
      <c r="L40" s="40" cm="1">
        <f t="array" aca="1" ref="L40" ca="1">_xll.TR(T40,"TR.MIDPRICE","SDate:"&amp;TEXT(WORKDAY(TODAY(),-5),"yyyy-mm-dd"))</f>
        <v>162.5</v>
      </c>
      <c r="M40" s="13" cm="1">
        <f t="array" aca="1" ref="M40" ca="1">_xll.TR(T40,"TR.MIDPRICE","SDate:"&amp;TEXT(WORKDAY(TODAY(),-14),"yyyy-mm-dd"))</f>
        <v>162.10499999999999</v>
      </c>
      <c r="N40" s="13" cm="1">
        <f t="array" ref="N40">-_xll.TR(T40,"PCTCHG_3M")</f>
        <v>-2.69</v>
      </c>
      <c r="O40" s="56" cm="1">
        <f t="array" ref="O40">-_xll.TR(T40,"PCTCHG_YTD")</f>
        <v>-4.47</v>
      </c>
      <c r="P40" t="s">
        <v>80</v>
      </c>
      <c r="Q40" s="15" t="s">
        <v>124</v>
      </c>
      <c r="R40" cm="1">
        <f t="array" ref="R40">_xll.TR(Q40,"TR.PriceClose")</f>
        <v>64931.19</v>
      </c>
      <c r="S40" cm="1">
        <f t="array" aca="1" ref="S40" ca="1">_xll.TR(Q40,"TR.PriceClose","SDate:"&amp;TEXT(WORKDAY(TODAY(),-5),"yyyy-mm-dd"))</f>
        <v>64141.120000000003</v>
      </c>
      <c r="T40" t="s">
        <v>151</v>
      </c>
      <c r="U40" s="9" cm="1">
        <f t="array" ref="U40">_xll.TR(T40,"BID")</f>
        <v>163.65</v>
      </c>
      <c r="V40" s="9" cm="1">
        <f t="array" aca="1" ref="V40" ca="1">_xll.TR(T40,"CF_CLOSE","SDate:"&amp;TEXT(WORKDAY(TODAY(),-5),"yyyy-mm-dd"))</f>
        <v>163.84</v>
      </c>
      <c r="W40" s="19"/>
    </row>
    <row r="41" spans="1:23" ht="14" customHeight="1">
      <c r="A41" s="10" t="s">
        <v>45</v>
      </c>
      <c r="B41" s="49"/>
      <c r="C41" s="51">
        <f ca="1">'CDS from CapitalIQ'!C36</f>
        <v>38.194499999999998</v>
      </c>
      <c r="D41" s="25">
        <f ca="1">'CDS from CapitalIQ'!T36</f>
        <v>1.377600000000001</v>
      </c>
      <c r="E41" s="25">
        <f ca="1">'CDS from CapitalIQ'!V36</f>
        <v>1.3071999999999946</v>
      </c>
      <c r="F41" s="25">
        <f ca="1">'CDS from CapitalIQ'!W36</f>
        <v>-6.2100000000000932E-2</v>
      </c>
      <c r="G41" s="41">
        <f ca="1">'CDS from CapitalIQ'!X36</f>
        <v>-2.2055000000000007</v>
      </c>
      <c r="H41" s="42" cm="1">
        <f t="array" aca="1" ref="H41" ca="1">(_xll.TR(Q41,"TR.PriceClose")-_xll.TR(Q41,"TR.PriceClose","SDate:"&amp;TEXT(WORKDAY(TODAY(),-5),"yyyy-mm-dd")))/_xll.TR(Q41,"TR.PriceClose","SDate:"&amp;TEXT(WORKDAY(TODAY(),-5),"yyyy-mm-dd"))*100</f>
        <v>-0.53417252611349109</v>
      </c>
      <c r="I41" s="13" cm="1">
        <f t="array" aca="1" ref="I41" ca="1">((_xll.TR(Q41,"TR.PriceClose")-_xll.TR(Q41,"TR.PriceClose","SDate:"&amp;TEXT(WORKDAY(TODAY(),-14),"yyyy-mm-dd")))/_xll.TR(Q41,"TR.PriceClose","SDate:"&amp;TEXT(WORKDAY(TODAY(),-14),"yyyy-mm-dd")))*100</f>
        <v>1.7921125655850128</v>
      </c>
      <c r="J41" s="13" cm="1">
        <f t="array" aca="1" ref="J41" ca="1">(_xll.TR(Q41,"TRDPRC_1")-_xll.TR(Q41,"TR.PriceClose","SDate:"&amp;TEXT(WORKDAY(TODAY(),-65),"yyyy-mm-dd")))/_xll.TR(Q41,"TR.PriceClose","SDate:"&amp;TEXT(WORKDAY(TODAY(),-65),"yyyy-mm-dd"))*100</f>
        <v>-0.24340959779184773</v>
      </c>
      <c r="K41" s="56" cm="1">
        <f t="array" aca="1" ref="K41" ca="1">(_xll.TR(Q41,"TR.PriceClose")-_xll.TR(Q41,"TR.PriceClose","SDate:"&amp;TEXT(WORKDAY(TODAY(),-260),"yyyy-mm-dd")))/_xll.TR(Q41,"TR.PriceClose","SDate:"&amp;TEXT(WORKDAY(TODAY(),-260),"yyyy-mm-dd"))*100</f>
        <v>12.01205717349513</v>
      </c>
      <c r="L41" s="40" cm="1">
        <f t="array" aca="1" ref="L41" ca="1">_xll.TR(T41,"TR.MIDPRICE","SDate:"&amp;TEXT(WORKDAY(TODAY(),-5),"yyyy-mm-dd"))</f>
        <v>4.0925000000000002</v>
      </c>
      <c r="M41" s="13" cm="1">
        <f t="array" aca="1" ref="M41" ca="1">_xll.TR(T41,"TR.MIDPRICE","SDate:"&amp;TEXT(WORKDAY(TODAY(),-14),"yyyy-mm-dd"))</f>
        <v>4.07</v>
      </c>
      <c r="N41" s="13" cm="1">
        <f t="array" ref="N41">-_xll.TR(T41,"PCTCHG_3M")</f>
        <v>-3.05</v>
      </c>
      <c r="O41" s="56" cm="1">
        <f t="array" ref="O41">-_xll.TR(T41,"PCTCHG_YTD")</f>
        <v>-0.67</v>
      </c>
      <c r="P41" t="s">
        <v>81</v>
      </c>
      <c r="Q41" t="s">
        <v>125</v>
      </c>
      <c r="R41" cm="1">
        <f t="array" ref="R41">_xll.TR(Q41,"TR.PriceClose")</f>
        <v>1713.09</v>
      </c>
      <c r="S41" cm="1">
        <f t="array" aca="1" ref="S41" ca="1">_xll.TR(Q41,"TR.PriceClose","SDate:"&amp;TEXT(WORKDAY(TODAY(),-5),"yyyy-mm-dd"))</f>
        <v>1722.29</v>
      </c>
      <c r="T41" t="s">
        <v>152</v>
      </c>
      <c r="U41" s="9" cm="1">
        <f t="array" ref="U41">_xll.TR(T41,"BID")</f>
        <v>4.0830000000000002</v>
      </c>
      <c r="V41" s="9" cm="1">
        <f t="array" aca="1" ref="V41" ca="1">_xll.TR(T41,"CF_CLOSE","SDate:"&amp;TEXT(WORKDAY(TODAY(),-5),"yyyy-mm-dd"))</f>
        <v>4.0880000000000001</v>
      </c>
      <c r="W41" s="19"/>
    </row>
    <row r="42" spans="1:23" ht="14" customHeight="1">
      <c r="A42" s="12" t="s">
        <v>46</v>
      </c>
      <c r="B42" s="50"/>
      <c r="C42" s="51">
        <f ca="1">'CDS from CapitalIQ'!C37</f>
        <v>15.412000000000001</v>
      </c>
      <c r="D42" s="25">
        <f ca="1">'CDS from CapitalIQ'!T37</f>
        <v>0.37800000000000011</v>
      </c>
      <c r="E42" s="25">
        <f ca="1">'CDS from CapitalIQ'!V37</f>
        <v>0.43900000000000006</v>
      </c>
      <c r="F42" s="25">
        <f ca="1">'CDS from CapitalIQ'!W37</f>
        <v>-0.77050000000000018</v>
      </c>
      <c r="G42" s="41">
        <f ca="1">'CDS from CapitalIQ'!X37</f>
        <v>1.5765000000000011</v>
      </c>
      <c r="H42" s="42" cm="1">
        <f t="array" aca="1" ref="H42" ca="1">(_xll.TR(Q42,"TR.PriceClose")-_xll.TR(Q42,"TR.PriceClose","SDate:"&amp;TEXT(WORKDAY(TODAY(),-5),"yyyy-mm-dd")))/_xll.TR(Q42,"TR.PriceClose","SDate:"&amp;TEXT(WORKDAY(TODAY(),-5),"yyyy-mm-dd"))*100</f>
        <v>1.1292323395903765</v>
      </c>
      <c r="I42" s="13" cm="1">
        <f t="array" aca="1" ref="I42" ca="1">((_xll.TR(Q42,"TR.PriceClose")-_xll.TR(Q42,"TR.PriceClose","SDate:"&amp;TEXT(WORKDAY(TODAY(),-14),"yyyy-mm-dd")))/_xll.TR(Q42,"TR.PriceClose","SDate:"&amp;TEXT(WORKDAY(TODAY(),-14),"yyyy-mm-dd")))*100</f>
        <v>0.63867864001412233</v>
      </c>
      <c r="J42" s="13" cm="1">
        <f t="array" aca="1" ref="J42" ca="1">IFERROR(((_xll.TR(Q42,"TR.PriceClose")-_xll.TR(Q42,"TR.PriceClose","SDate:"&amp;EDATE(TODAY(),-3)))/_xll.TR(Q42,"TR.PriceClose","SDate:"&amp;EDATE(TODAY(),-3)))*100,"-")</f>
        <v>7.5786760948012173</v>
      </c>
      <c r="K42" s="56" cm="1">
        <f t="array" aca="1" ref="K42" ca="1">(_xll.TR(Q42,"TR.PriceClose")-_xll.TR(Q42,"TR.PriceClose","SDate:"&amp;TEXT(WORKDAY(TODAY(),-260),"yyyy-mm-dd")))/_xll.TR(Q42,"TR.PriceClose","SDate:"&amp;TEXT(WORKDAY(TODAY(),-260),"yyyy-mm-dd"))*100</f>
        <v>7.2803727749145342</v>
      </c>
      <c r="L42" s="40" cm="1">
        <f t="array" aca="1" ref="L42" ca="1">_xll.TR(T42,"TR.MIDPRICE","SDate:"&amp;TEXT(WORKDAY(TODAY(),-5),"yyyy-mm-dd"))</f>
        <v>0.58384999999999998</v>
      </c>
      <c r="M42" s="13" cm="1">
        <f t="array" aca="1" ref="M42" ca="1">_xll.TR(T42,"TR.MIDPRICE","SDate:"&amp;TEXT(WORKDAY(TODAY(),-14),"yyyy-mm-dd"))</f>
        <v>0.56774999999999998</v>
      </c>
      <c r="N42" s="13" cm="1">
        <f t="array" ref="N42">-_xll.TR(T42,"PCTCHG_3M")</f>
        <v>1.67</v>
      </c>
      <c r="O42" s="56" cm="1">
        <f t="array" ref="O42">-_xll.TR(T42,"PCTCHG_YTD")</f>
        <v>-0.42</v>
      </c>
      <c r="P42" t="s">
        <v>82</v>
      </c>
      <c r="Q42" t="s">
        <v>126</v>
      </c>
      <c r="R42" cm="1">
        <f t="array" ref="R42">_xll.TR(Q42,"TR.PriceClose")</f>
        <v>13850.69</v>
      </c>
      <c r="S42" cm="1">
        <f t="array" aca="1" ref="S42" ca="1">_xll.TR(Q42,"TR.PriceClose","SDate:"&amp;TEXT(WORKDAY(TODAY(),-5),"yyyy-mm-dd"))</f>
        <v>13696.03</v>
      </c>
      <c r="T42" t="s">
        <v>153</v>
      </c>
      <c r="U42" s="9" cm="1">
        <f t="array" ref="U42">_xll.TR(T42,"BID")</f>
        <v>0.57799999999999996</v>
      </c>
      <c r="V42" s="9" cm="1">
        <f t="array" aca="1" ref="V42" ca="1">_xll.TR(T42,"CF_CLOSE","SDate:"&amp;TEXT(WORKDAY(TODAY(),-5),"yyyy-mm-dd"))</f>
        <v>0.57869999999999999</v>
      </c>
      <c r="W42" s="19"/>
    </row>
    <row r="43" spans="1:23" ht="14" customHeight="1">
      <c r="A43" s="30" t="s">
        <v>47</v>
      </c>
      <c r="B43" s="49"/>
      <c r="C43" s="51">
        <f ca="1">'CDS from CapitalIQ'!C38</f>
        <v>0</v>
      </c>
      <c r="D43" s="25">
        <f ca="1">'CDS from CapitalIQ'!T38</f>
        <v>0</v>
      </c>
      <c r="E43" s="25">
        <f ca="1">'CDS from CapitalIQ'!V38</f>
        <v>0</v>
      </c>
      <c r="F43" s="25">
        <f ca="1">'CDS from CapitalIQ'!W38</f>
        <v>0</v>
      </c>
      <c r="G43" s="41">
        <f ca="1">'CDS from CapitalIQ'!X38</f>
        <v>0</v>
      </c>
      <c r="H43" s="42" cm="1">
        <f t="array" aca="1" ref="H43" ca="1">(_xll.TR(Q43,"TR.PriceClose")-_xll.TR(Q43,"TR.PriceClose","SDate:"&amp;TEXT(WORKDAY(TODAY(),-5),"yyyy-mm-dd")))/_xll.TR(Q43,"TR.PriceClose","SDate:"&amp;TEXT(WORKDAY(TODAY(),-5),"yyyy-mm-dd"))*100</f>
        <v>0</v>
      </c>
      <c r="I43" s="13" cm="1">
        <f t="array" aca="1" ref="I43" ca="1">((_xll.TR(Q43,"TR.PriceClose")-_xll.TR(Q43,"TR.PriceClose","SDate:"&amp;TEXT(WORKDAY(TODAY(),-14),"yyyy-mm-dd")))/_xll.TR(Q43,"TR.PriceClose","SDate:"&amp;TEXT(WORKDAY(TODAY(),-14),"yyyy-mm-dd")))*100</f>
        <v>0</v>
      </c>
      <c r="J43" s="13" cm="1">
        <f t="array" aca="1" ref="J43" ca="1">IFERROR(((_xll.TR(Q43,"TR.PriceClose")-_xll.TR(Q43,"TR.PriceClose","SDate:"&amp;EDATE(TODAY(),-3)))/_xll.TR(Q43,"TR.PriceClose","SDate:"&amp;EDATE(TODAY(),-3)))*100,"-")</f>
        <v>0</v>
      </c>
      <c r="K43" s="56" cm="1">
        <f t="array" aca="1" ref="K43" ca="1">(_xll.TR(Q43,"TR.PriceClose")-_xll.TR(Q43,"TR.PriceClose","SDate:"&amp;TEXT(WORKDAY(TODAY(),-260),"yyyy-mm-dd")))/_xll.TR(Q43,"TR.PriceClose","SDate:"&amp;TEXT(WORKDAY(TODAY(),-260),"yyyy-mm-dd"))*100</f>
        <v>0</v>
      </c>
      <c r="L43" s="40" cm="1">
        <f t="array" aca="1" ref="L43" ca="1">_xll.TR(T43,"TR.MIDPRICE","SDate:"&amp;TEXT(WORKDAY(TODAY(),-5),"yyyy-mm-dd"))</f>
        <v>78.575000000000003</v>
      </c>
      <c r="M43" s="13" cm="1">
        <f t="array" aca="1" ref="M43" ca="1">_xll.TR(T43,"TR.MIDPRICE","SDate:"&amp;TEXT(WORKDAY(TODAY(),-14),"yyyy-mm-dd"))</f>
        <v>76.459999999999994</v>
      </c>
      <c r="N43" s="13" cm="1">
        <f t="array" ref="N43">-_xll.TR(T43,"PCTCHG_3M")</f>
        <v>-3.69</v>
      </c>
      <c r="O43" s="56" cm="1">
        <f t="array" ref="O43">-_xll.TR(T43,"PCTCHG_YTD")</f>
        <v>0.92</v>
      </c>
      <c r="P43" t="s">
        <v>83</v>
      </c>
      <c r="Q43" t="s">
        <v>127</v>
      </c>
      <c r="R43" cm="1">
        <f t="array" ref="R43">_xll.TR(Q43,"TR.PriceClose")</f>
        <v>3215.91</v>
      </c>
      <c r="S43" cm="1">
        <f t="array" aca="1" ref="S43" ca="1">_xll.TR(Q43,"TR.PriceClose","SDate:"&amp;TEXT(WORKDAY(TODAY(),-5),"yyyy-mm-dd"))</f>
        <v>3215.91</v>
      </c>
      <c r="T43" t="s">
        <v>154</v>
      </c>
      <c r="U43" s="9" cm="1">
        <f t="array" ref="U43">_xll.TR(T43,"BID")</f>
        <v>78.020499999999998</v>
      </c>
      <c r="V43" s="9" cm="1">
        <f t="array" aca="1" ref="V43" ca="1">_xll.TR(T43,"CF_CLOSE","SDate:"&amp;TEXT(WORKDAY(TODAY(),-5),"yyyy-mm-dd"))</f>
        <v>77.645499999999998</v>
      </c>
      <c r="W43" s="19"/>
    </row>
    <row r="44" spans="1:23" ht="14" customHeight="1">
      <c r="A44" s="12" t="s">
        <v>48</v>
      </c>
      <c r="B44" s="50"/>
      <c r="C44" s="51">
        <f ca="1">'CDS from CapitalIQ'!C39</f>
        <v>2.1520999999999999</v>
      </c>
      <c r="D44" s="25">
        <f ca="1">'CDS from CapitalIQ'!T39</f>
        <v>-0.18130000000000024</v>
      </c>
      <c r="E44" s="25">
        <f ca="1">'CDS from CapitalIQ'!V39</f>
        <v>-0.18130000000000024</v>
      </c>
      <c r="F44" s="25">
        <f ca="1">'CDS from CapitalIQ'!W39</f>
        <v>-0.18130000000000024</v>
      </c>
      <c r="G44" s="41">
        <f ca="1">'CDS from CapitalIQ'!X39</f>
        <v>-1.1205000000000003</v>
      </c>
      <c r="H44" s="42" cm="1">
        <f t="array" aca="1" ref="H44" ca="1">(_xll.TR(Q44,"TR.PriceClose")-_xll.TR(Q44,"TR.PriceClose","SDate:"&amp;TEXT(WORKDAY(TODAY(),-5),"yyyy-mm-dd")))/_xll.TR(Q44,"TR.PriceClose","SDate:"&amp;TEXT(WORKDAY(TODAY(),-5),"yyyy-mm-dd"))*100</f>
        <v>2.2056938142736335</v>
      </c>
      <c r="I44" s="13" cm="1">
        <f t="array" aca="1" ref="I44" ca="1">((_xll.TR(Q44,"TR.PriceClose")-_xll.TR(Q44,"TR.PriceClose","SDate:"&amp;TEXT(WORKDAY(TODAY(),-14),"yyyy-mm-dd")))/_xll.TR(Q44,"TR.PriceClose","SDate:"&amp;TEXT(WORKDAY(TODAY(),-14),"yyyy-mm-dd")))*100</f>
        <v>5.2038096379046994</v>
      </c>
      <c r="J44" s="13" cm="1">
        <f t="array" aca="1" ref="J44" ca="1">(_xll.TR(Q44,"TRDPRC_1")-_xll.TR(Q44,"TR.PriceClose","SDate:"&amp;TEXT(WORKDAY(TODAY(),-65),"yyyy-mm-dd")))/_xll.TR(Q44,"TR.PriceClose","SDate:"&amp;TEXT(WORKDAY(TODAY(),-65),"yyyy-mm-dd"))*100</f>
        <v>14.869203900480924</v>
      </c>
      <c r="K44" s="56" cm="1">
        <f t="array" aca="1" ref="K44" ca="1">(_xll.TR(Q44,"TR.PriceClose")-_xll.TR(Q44,"TR.PriceClose","SDate:"&amp;TEXT(WORKDAY(TODAY(),-260),"yyyy-mm-dd")))/_xll.TR(Q44,"TR.PriceClose","SDate:"&amp;TEXT(WORKDAY(TODAY(),-260),"yyyy-mm-dd"))*100</f>
        <v>32.517200563999289</v>
      </c>
      <c r="L44" s="40" cm="1">
        <f t="array" aca="1" ref="L44" ca="1">_xll.TR(T44,"TR.MIDPRICE","SDate:"&amp;TEXT(WORKDAY(TODAY(),-5),"yyyy-mm-dd"))</f>
        <v>1.29115</v>
      </c>
      <c r="M44" s="13" cm="1">
        <f t="array" aca="1" ref="M44" ca="1">_xll.TR(T44,"TR.MIDPRICE","SDate:"&amp;TEXT(WORKDAY(TODAY(),-14),"yyyy-mm-dd"))</f>
        <v>1.2927</v>
      </c>
      <c r="N44" s="13" cm="1">
        <f t="array" ref="N44">-_xll.TR(T44,"PCTCHG_3M")</f>
        <v>-1.18</v>
      </c>
      <c r="O44" s="56" cm="1">
        <f t="array" ref="O44">-_xll.TR(T44,"PCTCHG_YTD")</f>
        <v>-0.41</v>
      </c>
      <c r="P44" t="s">
        <v>84</v>
      </c>
      <c r="Q44" t="s">
        <v>128</v>
      </c>
      <c r="R44" cm="1">
        <f t="array" ref="R44">_xll.TR(Q44,"TR.PriceClose")</f>
        <v>5620.24</v>
      </c>
      <c r="S44" cm="1">
        <f t="array" aca="1" ref="S44" ca="1">_xll.TR(Q44,"TR.PriceClose","SDate:"&amp;TEXT(WORKDAY(TODAY(),-5),"yyyy-mm-dd"))</f>
        <v>5498.95</v>
      </c>
      <c r="T44" t="s">
        <v>155</v>
      </c>
      <c r="U44" s="9" cm="1">
        <f t="array" ref="U44">_xll.TR(T44,"BID")</f>
        <v>1.2907999999999999</v>
      </c>
      <c r="V44" s="9" cm="1">
        <f t="array" aca="1" ref="V44" ca="1">_xll.TR(T44,"CF_CLOSE","SDate:"&amp;TEXT(WORKDAY(TODAY(),-5),"yyyy-mm-dd"))</f>
        <v>1.2901</v>
      </c>
      <c r="W44" s="19"/>
    </row>
    <row r="45" spans="1:23" ht="14" customHeight="1">
      <c r="A45" s="10" t="s">
        <v>49</v>
      </c>
      <c r="B45" s="49"/>
      <c r="C45" s="51">
        <f ca="1">'CDS from CapitalIQ'!C40</f>
        <v>23.325099999999999</v>
      </c>
      <c r="D45" s="25">
        <f ca="1">'CDS from CapitalIQ'!T40</f>
        <v>0.63629999999999853</v>
      </c>
      <c r="E45" s="25">
        <f ca="1">'CDS from CapitalIQ'!V40</f>
        <v>0.5517000000000003</v>
      </c>
      <c r="F45" s="25">
        <f ca="1">'CDS from CapitalIQ'!W40</f>
        <v>-5.5123999999999995</v>
      </c>
      <c r="G45" s="41">
        <f ca="1">'CDS from CapitalIQ'!X40</f>
        <v>0.75079999999999814</v>
      </c>
      <c r="H45" s="42" cm="1">
        <f t="array" aca="1" ref="H45" ca="1">(_xll.TR(Q45,"TR.PriceClose")-_xll.TR(Q45,"TR.PriceClose","SDate:"&amp;TEXT(WORKDAY(TODAY(),-5),"yyyy-mm-dd")))/_xll.TR(Q45,"TR.PriceClose","SDate:"&amp;TEXT(WORKDAY(TODAY(),-5),"yyyy-mm-dd"))*100</f>
        <v>3.6751086127493116</v>
      </c>
      <c r="I45" s="13" cm="1">
        <f t="array" aca="1" ref="I45" ca="1">((_xll.TR(Q45,"TR.PriceClose")-_xll.TR(Q45,"TR.PriceClose","SDate:"&amp;TEXT(WORKDAY(TODAY(),-14),"yyyy-mm-dd")))/_xll.TR(Q45,"TR.PriceClose","SDate:"&amp;TEXT(WORKDAY(TODAY(),-14),"yyyy-mm-dd")))*100</f>
        <v>-11.762324148316882</v>
      </c>
      <c r="J45" s="13" cm="1">
        <f t="array" aca="1" ref="J45" ca="1">(_xll.TR(Q45,"TRDPRC_1")-_xll.TR(Q45,"TR.PriceClose","SDate:"&amp;TEXT(WORKDAY(TODAY(),-65),"yyyy-mm-dd")))/_xll.TR(Q45,"TR.PriceClose","SDate:"&amp;TEXT(WORKDAY(TODAY(),-65),"yyyy-mm-dd"))*100</f>
        <v>2.1272768226296823</v>
      </c>
      <c r="K45" s="56" cm="1">
        <f t="array" aca="1" ref="K45" ca="1">(_xll.TR(Q45,"TR.PriceClose")-_xll.TR(Q45,"TR.PriceClose","SDate:"&amp;TEXT(WORKDAY(TODAY(),-260),"yyyy-mm-dd")))/_xll.TR(Q45,"TR.PriceClose","SDate:"&amp;TEXT(WORKDAY(TODAY(),-260),"yyyy-mm-dd"))*100</f>
        <v>110.49097684388943</v>
      </c>
      <c r="L45" s="40" cm="1">
        <f t="array" aca="1" ref="L45" ca="1">_xll.TR(T45,"TR.MIDPRICE","SDate:"&amp;TEXT(WORKDAY(TODAY(),-5),"yyyy-mm-dd"))</f>
        <v>1475.9</v>
      </c>
      <c r="M45" s="13" cm="1">
        <f t="array" aca="1" ref="M45" ca="1">_xll.TR(T45,"TR.MIDPRICE","SDate:"&amp;TEXT(WORKDAY(TODAY(),-14),"yyyy-mm-dd"))</f>
        <v>1514.09</v>
      </c>
      <c r="N45" s="13" cm="1">
        <f t="array" ref="N45">-_xll.TR(T45,"PCTCHG_3M")</f>
        <v>0.67</v>
      </c>
      <c r="O45" s="56" cm="1">
        <f t="array" ref="O45">-_xll.TR(T45,"PCTCHG_YTD")</f>
        <v>-1.8</v>
      </c>
      <c r="P45" t="s">
        <v>85</v>
      </c>
      <c r="Q45" t="s">
        <v>129</v>
      </c>
      <c r="R45" cm="1">
        <f t="array" ref="R45">_xll.TR(Q45,"TR.PriceClose")</f>
        <v>6755.75</v>
      </c>
      <c r="S45" cm="1">
        <f t="array" aca="1" ref="S45" ca="1">_xll.TR(Q45,"TR.PriceClose","SDate:"&amp;TEXT(WORKDAY(TODAY(),-5),"yyyy-mm-dd"))</f>
        <v>6516.27</v>
      </c>
      <c r="T45" t="s">
        <v>156</v>
      </c>
      <c r="U45" s="9" cm="1">
        <f t="array" ref="U45">_xll.TR(T45,"BID")</f>
        <v>1466.41</v>
      </c>
      <c r="V45" s="9" cm="1">
        <f t="array" aca="1" ref="V45" ca="1">_xll.TR(T45,"CF_CLOSE","SDate:"&amp;TEXT(WORKDAY(TODAY(),-5),"yyyy-mm-dd"))</f>
        <v>1459.23</v>
      </c>
      <c r="W45" s="19"/>
    </row>
    <row r="46" spans="1:23" ht="14" customHeight="1">
      <c r="A46" s="12" t="s">
        <v>50</v>
      </c>
      <c r="B46" s="50"/>
      <c r="C46" s="51">
        <f>'CDS from CapitalIQ'!C41</f>
        <v>0</v>
      </c>
      <c r="D46" s="25">
        <f>'CDS from CapitalIQ'!T41</f>
        <v>0</v>
      </c>
      <c r="E46" s="25">
        <f>'CDS from CapitalIQ'!V41</f>
        <v>0</v>
      </c>
      <c r="F46" s="25">
        <f>'CDS from CapitalIQ'!W41</f>
        <v>0</v>
      </c>
      <c r="G46" s="41">
        <f>'CDS from CapitalIQ'!X41</f>
        <v>0</v>
      </c>
      <c r="H46" s="42" cm="1">
        <f t="array" aca="1" ref="H46" ca="1">(_xll.TR(Q46,"TR.PriceClose")-_xll.TR(Q46,"TR.PriceClose","SDate:"&amp;TEXT(WORKDAY(TODAY(),-5),"yyyy-mm-dd")))/_xll.TR(Q46,"TR.PriceClose","SDate:"&amp;TEXT(WORKDAY(TODAY(),-5),"yyyy-mm-dd"))*100</f>
        <v>2.7903377409027752</v>
      </c>
      <c r="I46" s="13" cm="1">
        <f t="array" aca="1" ref="I46" ca="1">((_xll.TR(Q46,"TR.PriceClose")-_xll.TR(Q46,"TR.PriceClose","SDate:"&amp;TEXT(WORKDAY(TODAY(),-14),"yyyy-mm-dd")))/_xll.TR(Q46,"TR.PriceClose","SDate:"&amp;TEXT(WORKDAY(TODAY(),-14),"yyyy-mm-dd")))*100</f>
        <v>-4.0566317150885283</v>
      </c>
      <c r="J46" s="13" cm="1">
        <f t="array" aca="1" ref="J46" ca="1">(_xll.TR(Q46,"TRDPRC_1")-_xll.TR(Q46,"TR.PriceClose","SDate:"&amp;TEXT(WORKDAY(TODAY(),-65),"yyyy-mm-dd")))/_xll.TR(Q46,"TR.PriceClose","SDate:"&amp;TEXT(WORKDAY(TODAY(),-65),"yyyy-mm-dd"))*100</f>
        <v>10.141094787719211</v>
      </c>
      <c r="K46" s="56" cm="1">
        <f t="array" aca="1" ref="K46" ca="1">(_xll.TR(Q46,"TR.PriceClose")-_xll.TR(Q46,"TR.PriceClose","SDate:"&amp;TEXT(WORKDAY(TODAY(),-260),"yyyy-mm-dd")))/_xll.TR(Q46,"TR.PriceClose","SDate:"&amp;TEXT(WORKDAY(TODAY(),-260),"yyyy-mm-dd"))*100</f>
        <v>86.367519213701129</v>
      </c>
      <c r="L46" s="40" cm="1">
        <f t="array" aca="1" ref="L46" ca="1">_xll.TR(T46,"TR.MIDPRICE","SDate:"&amp;TEXT(WORKDAY(TODAY(),-5),"yyyy-mm-dd"))</f>
        <v>32.295000000000002</v>
      </c>
      <c r="M46" s="13" cm="1">
        <f t="array" aca="1" ref="M46" ca="1">_xll.TR(T46,"TR.MIDPRICE","SDate:"&amp;TEXT(WORKDAY(TODAY(),-14),"yyyy-mm-dd"))</f>
        <v>32.131</v>
      </c>
      <c r="N46" s="13" cm="1">
        <f t="array" ref="N46">-_xll.TR(T46,"PCTCHG_3M")</f>
        <v>-2.68</v>
      </c>
      <c r="O46" s="56" cm="1">
        <f t="array" ref="O46">-_xll.TR(T46,"PCTCHG_YTD")</f>
        <v>-3.05</v>
      </c>
      <c r="P46" t="s">
        <v>86</v>
      </c>
      <c r="Q46" s="15" t="s">
        <v>130</v>
      </c>
      <c r="R46" cm="1">
        <f t="array" ref="R46">_xll.TR(Q46,"TR.PriceClose")</f>
        <v>43634.19</v>
      </c>
      <c r="S46" cm="1">
        <f t="array" aca="1" ref="S46" ca="1">_xll.TR(Q46,"TR.PriceClose","SDate:"&amp;TEXT(WORKDAY(TODAY(),-5),"yyyy-mm-dd"))</f>
        <v>42449.7</v>
      </c>
      <c r="T46" t="s">
        <v>157</v>
      </c>
      <c r="U46" s="9" cm="1">
        <f t="array" ref="U46">_xll.TR(T46,"BID")</f>
        <v>32.29</v>
      </c>
      <c r="V46" s="9" cm="1">
        <f t="array" aca="1" ref="V46" ca="1">_xll.TR(T46,"CF_CLOSE","SDate:"&amp;TEXT(WORKDAY(TODAY(),-5),"yyyy-mm-dd"))</f>
        <v>32.322000000000003</v>
      </c>
    </row>
    <row r="47" spans="1:23" ht="14" customHeight="1">
      <c r="A47" s="10" t="s">
        <v>51</v>
      </c>
      <c r="B47" s="49"/>
      <c r="C47" s="51">
        <f ca="1">'CDS from CapitalIQ'!C42</f>
        <v>44.390300000000003</v>
      </c>
      <c r="D47" s="25">
        <f ca="1">'CDS from CapitalIQ'!T42</f>
        <v>1.306200000000004</v>
      </c>
      <c r="E47" s="25">
        <f ca="1">'CDS from CapitalIQ'!V42</f>
        <v>3.0225000000000009</v>
      </c>
      <c r="F47" s="25">
        <f ca="1">'CDS from CapitalIQ'!W42</f>
        <v>-7.6570999999999998</v>
      </c>
      <c r="G47" s="41">
        <f ca="1">'CDS from CapitalIQ'!X42</f>
        <v>3.2965000000000018</v>
      </c>
      <c r="H47" s="42" cm="1">
        <f t="array" aca="1" ref="H47" ca="1">(_xll.TR(Q47,"TR.PriceClose")-_xll.TR(Q47,"TR.PriceClose","SDate:"&amp;TEXT(WORKDAY(TODAY(),-5),"yyyy-mm-dd")))/_xll.TR(Q47,"TR.PriceClose","SDate:"&amp;TEXT(WORKDAY(TODAY(),-5),"yyyy-mm-dd"))*100</f>
        <v>-1.3080194410692572</v>
      </c>
      <c r="I47" s="13" cm="1">
        <f t="array" aca="1" ref="I47" ca="1">((_xll.TR(Q47,"TR.PriceClose")-_xll.TR(Q47,"TR.PriceClose","SDate:"&amp;TEXT(WORKDAY(TODAY(),-14),"yyyy-mm-dd")))/_xll.TR(Q47,"TR.PriceClose","SDate:"&amp;TEXT(WORKDAY(TODAY(),-14),"yyyy-mm-dd")))*100</f>
        <v>1.2679770342802588</v>
      </c>
      <c r="J47" s="13" cm="1">
        <f t="array" aca="1" ref="J47" ca="1">(_xll.TR(Q47,"TRDPRC_1")-_xll.TR(Q47,"TR.PriceClose","SDate:"&amp;TEXT(WORKDAY(TODAY(),-65),"yyyy-mm-dd")))/_xll.TR(Q47,"TR.PriceClose","SDate:"&amp;TEXT(WORKDAY(TODAY(),-65),"yyyy-mm-dd"))*100</f>
        <v>9.8260463921359111</v>
      </c>
      <c r="K47" s="56" cm="1">
        <f t="array" aca="1" ref="K47" ca="1">(_xll.TR(Q47,"TR.PriceClose")-_xll.TR(Q47,"TR.PriceClose","SDate:"&amp;TEXT(WORKDAY(TODAY(),-260),"yyyy-mm-dd")))/_xll.TR(Q47,"TR.PriceClose","SDate:"&amp;TEXT(WORKDAY(TODAY(),-260),"yyyy-mm-dd"))*100</f>
        <v>33.465061824754542</v>
      </c>
      <c r="L47" s="40" cm="1">
        <f t="array" aca="1" ref="L47" ca="1">_xll.TR(T47,"TR.MIDPRICE","SDate:"&amp;TEXT(WORKDAY(TODAY(),-5),"yyyy-mm-dd"))</f>
        <v>33.645000000000003</v>
      </c>
      <c r="M47" s="13" cm="1">
        <f t="array" aca="1" ref="M47" ca="1">_xll.TR(T47,"TR.MIDPRICE","SDate:"&amp;TEXT(WORKDAY(TODAY(),-14),"yyyy-mm-dd"))</f>
        <v>33.344999999999999</v>
      </c>
      <c r="N47" s="13" cm="1">
        <f t="array" ref="N47">-_xll.TR(T47,"PCTCHG_3M")</f>
        <v>-3.96</v>
      </c>
      <c r="O47" s="56" cm="1">
        <f t="array" ref="O47">-_xll.TR(T47,"PCTCHG_YTD")</f>
        <v>-6.73</v>
      </c>
      <c r="P47" t="s">
        <v>87</v>
      </c>
      <c r="Q47" t="s">
        <v>131</v>
      </c>
      <c r="R47" cm="1">
        <f t="array" ref="R47">_xll.TR(Q47,"TR.PriceClose")</f>
        <v>1624.47</v>
      </c>
      <c r="S47" cm="1">
        <f t="array" aca="1" ref="S47" ca="1">_xll.TR(Q47,"TR.PriceClose","SDate:"&amp;TEXT(WORKDAY(TODAY(),-5),"yyyy-mm-dd"))</f>
        <v>1646</v>
      </c>
      <c r="T47" t="s">
        <v>158</v>
      </c>
      <c r="U47" s="9" cm="1">
        <f t="array" ref="U47">_xll.TR(T47,"BID")</f>
        <v>33.6</v>
      </c>
      <c r="V47" s="9" cm="1">
        <f t="array" aca="1" ref="V47" ca="1">_xll.TR(T47,"CF_CLOSE","SDate:"&amp;TEXT(WORKDAY(TODAY(),-5),"yyyy-mm-dd"))</f>
        <v>33.67</v>
      </c>
      <c r="W47" s="19"/>
    </row>
    <row r="48" spans="1:23" ht="14" customHeight="1">
      <c r="A48" s="66" t="s">
        <v>52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U48" s="9"/>
      <c r="V48" s="9"/>
    </row>
    <row r="49" spans="1:22" ht="14" customHeight="1">
      <c r="A49" s="5" t="s">
        <v>53</v>
      </c>
      <c r="B49" s="6"/>
      <c r="C49" s="7">
        <f ca="1">'CDS from CapitalIQ'!C44</f>
        <v>134.41319999999999</v>
      </c>
      <c r="D49" s="29">
        <f ca="1">'CDS from CapitalIQ'!T44</f>
        <v>4.8234999999999957</v>
      </c>
      <c r="E49" s="29">
        <f ca="1">'CDS from CapitalIQ'!V44</f>
        <v>10.031599999999983</v>
      </c>
      <c r="F49" s="29">
        <f ca="1">'CDS from CapitalIQ'!W44</f>
        <v>-20.177600000000012</v>
      </c>
      <c r="G49" s="44">
        <f ca="1">'CDS from CapitalIQ'!X44</f>
        <v>-51.350300000000004</v>
      </c>
      <c r="H49" s="43">
        <f ca="1">(R49-S49)/S49*100</f>
        <v>0.42396375125991714</v>
      </c>
      <c r="I49" s="8" cm="1">
        <f t="array" aca="1" ref="I49" ca="1">((_xll.TR(Q49,"TR.PriceClose")-_xll.TR(Q49,"TR.PriceClose","SDate:"&amp;TEXT(WORKDAY(TODAY(),-14),"yyyy-mm-dd")))/_xll.TR(Q49,"TR.PriceClose","SDate:"&amp;TEXT(WORKDAY(TODAY(),-14),"yyyy-mm-dd")))*100</f>
        <v>-0.84060386791986275</v>
      </c>
      <c r="J49" s="8" cm="1">
        <f t="array" aca="1" ref="J49" ca="1">(_xll.TR(Q49,"TRDPRC_1")-_xll.TR(Q49,"TR.PriceClose","SDate:"&amp;TEXT(WORKDAY(TODAY(),-65),"yyyy-mm-dd")))/_xll.TR(Q49,"TR.PriceClose","SDate:"&amp;TEXT(WORKDAY(TODAY(),-65),"yyyy-mm-dd"))*100</f>
        <v>-5.5388120563831755</v>
      </c>
      <c r="K49" s="57" cm="1">
        <f t="array" aca="1" ref="K49" ca="1">(_xll.TR(Q49,"TRDPRC_1")-_xll.TR(Q49,"TR.PriceClose","SDate:"&amp;TEXT(WORKDAY(TODAY(),-260),"yyyy-mm-dd")))/_xll.TR(Q49,"TR.PriceClose","SDate:"&amp;TEXT(WORKDAY(TODAY(),-260),"yyyy-mm-dd"))*100</f>
        <v>11.563958924941435</v>
      </c>
      <c r="L49" s="58" cm="1">
        <f t="array" aca="1" ref="L49" ca="1">_xll.TR(T49,"TR.MIDPRICE","SDate:"&amp;TEXT(WORKDAY(TODAY(),-5),"yyyy-mm-dd"))</f>
        <v>16.528400000000001</v>
      </c>
      <c r="M49" s="8" cm="1">
        <f t="array" aca="1" ref="M49" ca="1">_xll.TR(T49,"TR.MIDPRICE","SDate:"&amp;TEXT(WORKDAY(TODAY(),-14),"yyyy-mm-dd"))</f>
        <v>16.295649999999998</v>
      </c>
      <c r="N49" s="8" cm="1">
        <f t="array" ref="N49">-_xll.TR(T49,"PCTCHG_3M")</f>
        <v>-1.27</v>
      </c>
      <c r="O49" s="61" cm="1">
        <f t="array" ref="O49">-_xll.TR(T49,"PCTCHG_YTD")</f>
        <v>-1.02</v>
      </c>
      <c r="P49" t="s">
        <v>88</v>
      </c>
      <c r="Q49" t="s">
        <v>132</v>
      </c>
      <c r="R49" cm="1">
        <f t="array" ref="R49">_xll.TR(Q49,"TR.PriceClose")</f>
        <v>109398.05</v>
      </c>
      <c r="S49" cm="1">
        <f t="array" aca="1" ref="S49" ca="1">_xll.TR(Q49,"TR.PriceClose","SDate:"&amp;TEXT(WORKDAY(TODAY(),-5),"yyyy-mm-dd"))</f>
        <v>108936.2</v>
      </c>
      <c r="T49" t="s">
        <v>159</v>
      </c>
      <c r="U49" s="9" cm="1">
        <f t="array" ref="U49">_xll.TR(T49,"BID")</f>
        <v>16.7302</v>
      </c>
      <c r="V49" s="9" cm="1">
        <f t="array" aca="1" ref="V49" ca="1">_xll.TR(T49,"CF_CLOSE","SDate:"&amp;TEXT(WORKDAY(TODAY(),-5),"yyyy-mm-dd"))</f>
        <v>16.8248</v>
      </c>
    </row>
    <row r="51" spans="1:22">
      <c r="A51" s="62" t="s">
        <v>54</v>
      </c>
      <c r="B51" s="63"/>
      <c r="C51" s="63"/>
      <c r="D51" s="63"/>
      <c r="E51" s="63"/>
      <c r="F51" s="63"/>
      <c r="G51" s="63"/>
      <c r="H51" s="63"/>
    </row>
    <row r="52" spans="1:22">
      <c r="J52" s="34"/>
      <c r="K52" s="35"/>
    </row>
  </sheetData>
  <mergeCells count="12">
    <mergeCell ref="A51:H51"/>
    <mergeCell ref="A5:B5"/>
    <mergeCell ref="A1:O1"/>
    <mergeCell ref="A48:O48"/>
    <mergeCell ref="A6:B6"/>
    <mergeCell ref="C3:G3"/>
    <mergeCell ref="A12:O12"/>
    <mergeCell ref="A7:O7"/>
    <mergeCell ref="A35:O35"/>
    <mergeCell ref="A26:O26"/>
    <mergeCell ref="H3:K3"/>
    <mergeCell ref="L3:O3"/>
  </mergeCells>
  <conditionalFormatting sqref="D13">
    <cfRule type="expression" dxfId="68" priority="95" stopIfTrue="1">
      <formula>E13&lt;=-3</formula>
    </cfRule>
    <cfRule type="expression" dxfId="67" priority="96" stopIfTrue="1">
      <formula>E13&gt;=3</formula>
    </cfRule>
  </conditionalFormatting>
  <conditionalFormatting sqref="D8:E11">
    <cfRule type="expression" dxfId="66" priority="63" stopIfTrue="1">
      <formula>D8&gt;3</formula>
    </cfRule>
    <cfRule type="expression" dxfId="65" priority="62" stopIfTrue="1">
      <formula>D8&lt;=-3</formula>
    </cfRule>
  </conditionalFormatting>
  <conditionalFormatting sqref="D27:E34">
    <cfRule type="expression" dxfId="64" priority="61" stopIfTrue="1">
      <formula>D27&gt;3</formula>
    </cfRule>
    <cfRule type="expression" dxfId="63" priority="60" stopIfTrue="1">
      <formula>D27&lt;=-3</formula>
    </cfRule>
  </conditionalFormatting>
  <conditionalFormatting sqref="D36:E47">
    <cfRule type="expression" dxfId="62" priority="54" stopIfTrue="1">
      <formula>D36&lt;=-3</formula>
    </cfRule>
    <cfRule type="expression" dxfId="61" priority="55" stopIfTrue="1">
      <formula>D36&gt;3</formula>
    </cfRule>
  </conditionalFormatting>
  <conditionalFormatting sqref="E13:E25">
    <cfRule type="expression" dxfId="60" priority="49" stopIfTrue="1">
      <formula>E13&gt;3</formula>
    </cfRule>
    <cfRule type="expression" dxfId="59" priority="48" stopIfTrue="1">
      <formula>E13&lt;=-3</formula>
    </cfRule>
  </conditionalFormatting>
  <conditionalFormatting sqref="F8:F11">
    <cfRule type="expression" dxfId="58" priority="53" stopIfTrue="1">
      <formula>F8&gt;15</formula>
    </cfRule>
    <cfRule type="expression" dxfId="57" priority="52" stopIfTrue="1">
      <formula>F8&lt;=-15</formula>
    </cfRule>
  </conditionalFormatting>
  <conditionalFormatting sqref="F13:F25">
    <cfRule type="expression" dxfId="56" priority="46" stopIfTrue="1">
      <formula>F13&gt;15</formula>
    </cfRule>
    <cfRule type="expression" dxfId="55" priority="45" stopIfTrue="1">
      <formula>F13&lt;=-15</formula>
    </cfRule>
  </conditionalFormatting>
  <conditionalFormatting sqref="F27:F34">
    <cfRule type="expression" dxfId="54" priority="44" stopIfTrue="1">
      <formula>F27&gt;15</formula>
    </cfRule>
    <cfRule type="expression" dxfId="53" priority="43" stopIfTrue="1">
      <formula>F27&lt;=-15</formula>
    </cfRule>
  </conditionalFormatting>
  <conditionalFormatting sqref="F36:F47">
    <cfRule type="expression" dxfId="52" priority="41" stopIfTrue="1">
      <formula>F36&lt;=-15</formula>
    </cfRule>
    <cfRule type="expression" dxfId="51" priority="42" stopIfTrue="1">
      <formula>F36&gt;15</formula>
    </cfRule>
  </conditionalFormatting>
  <conditionalFormatting sqref="G8:G11">
    <cfRule type="expression" dxfId="50" priority="40" stopIfTrue="1">
      <formula>G8&gt;20</formula>
    </cfRule>
    <cfRule type="expression" dxfId="49" priority="39" stopIfTrue="1">
      <formula>G8&lt;=-20</formula>
    </cfRule>
  </conditionalFormatting>
  <conditionalFormatting sqref="G13:G25">
    <cfRule type="expression" dxfId="48" priority="38" stopIfTrue="1">
      <formula>G13&gt;20</formula>
    </cfRule>
    <cfRule type="expression" dxfId="47" priority="37" stopIfTrue="1">
      <formula>G13&lt;=-20</formula>
    </cfRule>
  </conditionalFormatting>
  <conditionalFormatting sqref="G27:G34">
    <cfRule type="expression" dxfId="46" priority="36" stopIfTrue="1">
      <formula>G27&gt;20</formula>
    </cfRule>
    <cfRule type="expression" dxfId="45" priority="35" stopIfTrue="1">
      <formula>G27&lt;=-20</formula>
    </cfRule>
  </conditionalFormatting>
  <conditionalFormatting sqref="G36:G47">
    <cfRule type="expression" dxfId="44" priority="33" stopIfTrue="1">
      <formula>G36&lt;=-20</formula>
    </cfRule>
    <cfRule type="expression" dxfId="43" priority="34" stopIfTrue="1">
      <formula>G36&gt;20</formula>
    </cfRule>
  </conditionalFormatting>
  <conditionalFormatting sqref="H8:H11">
    <cfRule type="expression" dxfId="42" priority="32" stopIfTrue="1">
      <formula>H36&lt;=-3</formula>
    </cfRule>
    <cfRule type="expression" dxfId="41" priority="31" stopIfTrue="1">
      <formula>H36&gt;=3</formula>
    </cfRule>
  </conditionalFormatting>
  <conditionalFormatting sqref="H13:H25">
    <cfRule type="expression" dxfId="40" priority="30" stopIfTrue="1">
      <formula>H13&lt;=-3</formula>
    </cfRule>
    <cfRule type="expression" dxfId="39" priority="29" stopIfTrue="1">
      <formula>H13&gt;=3</formula>
    </cfRule>
  </conditionalFormatting>
  <conditionalFormatting sqref="H27:H34">
    <cfRule type="expression" dxfId="38" priority="28" stopIfTrue="1">
      <formula>H27&lt;=-3</formula>
    </cfRule>
    <cfRule type="expression" dxfId="37" priority="27" stopIfTrue="1">
      <formula>H27&gt;=3</formula>
    </cfRule>
  </conditionalFormatting>
  <conditionalFormatting sqref="H36:H47">
    <cfRule type="expression" dxfId="36" priority="25" stopIfTrue="1">
      <formula>H36&gt;=3</formula>
    </cfRule>
    <cfRule type="expression" dxfId="35" priority="26" stopIfTrue="1">
      <formula>H36&lt;=-3</formula>
    </cfRule>
  </conditionalFormatting>
  <conditionalFormatting sqref="I8:I11">
    <cfRule type="expression" dxfId="34" priority="24" stopIfTrue="1">
      <formula>I8&lt;=-5</formula>
    </cfRule>
    <cfRule type="expression" dxfId="33" priority="23" stopIfTrue="1">
      <formula>I8&gt;=5</formula>
    </cfRule>
  </conditionalFormatting>
  <conditionalFormatting sqref="I13:I25">
    <cfRule type="expression" dxfId="32" priority="22" stopIfTrue="1">
      <formula>I13&lt;=-5</formula>
    </cfRule>
    <cfRule type="expression" dxfId="31" priority="21" stopIfTrue="1">
      <formula>I13&gt;=5</formula>
    </cfRule>
  </conditionalFormatting>
  <conditionalFormatting sqref="I27:I34">
    <cfRule type="expression" dxfId="30" priority="20" stopIfTrue="1">
      <formula>I27&lt;=-5</formula>
    </cfRule>
    <cfRule type="expression" dxfId="29" priority="19" stopIfTrue="1">
      <formula>I27&gt;=5</formula>
    </cfRule>
  </conditionalFormatting>
  <conditionalFormatting sqref="I36:I47">
    <cfRule type="expression" dxfId="28" priority="17" stopIfTrue="1">
      <formula>I36&gt;=5</formula>
    </cfRule>
    <cfRule type="expression" dxfId="27" priority="18" stopIfTrue="1">
      <formula>I36&lt;=-5</formula>
    </cfRule>
  </conditionalFormatting>
  <conditionalFormatting sqref="J8:J11">
    <cfRule type="expression" dxfId="26" priority="16" stopIfTrue="1">
      <formula>J8&lt;=-15</formula>
    </cfRule>
    <cfRule type="expression" dxfId="25" priority="15" stopIfTrue="1">
      <formula>J8&gt;=15</formula>
    </cfRule>
  </conditionalFormatting>
  <conditionalFormatting sqref="J13:J25">
    <cfRule type="expression" dxfId="24" priority="14" stopIfTrue="1">
      <formula>J13&lt;=-15</formula>
    </cfRule>
    <cfRule type="expression" dxfId="23" priority="13" stopIfTrue="1">
      <formula>J13&gt;=15</formula>
    </cfRule>
  </conditionalFormatting>
  <conditionalFormatting sqref="J27:J34">
    <cfRule type="expression" dxfId="22" priority="12" stopIfTrue="1">
      <formula>J27&lt;=-15</formula>
    </cfRule>
    <cfRule type="expression" dxfId="21" priority="11" stopIfTrue="1">
      <formula>J27&gt;=15</formula>
    </cfRule>
  </conditionalFormatting>
  <conditionalFormatting sqref="J36:J47">
    <cfRule type="expression" dxfId="20" priority="9" stopIfTrue="1">
      <formula>J36&gt;=15</formula>
    </cfRule>
    <cfRule type="expression" dxfId="19" priority="10" stopIfTrue="1">
      <formula>J36&lt;=-15</formula>
    </cfRule>
  </conditionalFormatting>
  <conditionalFormatting sqref="K8:K11">
    <cfRule type="expression" dxfId="18" priority="7" stopIfTrue="1">
      <formula>K8&gt;=30</formula>
    </cfRule>
    <cfRule type="expression" dxfId="17" priority="8" stopIfTrue="1">
      <formula>K8&lt;=-30</formula>
    </cfRule>
  </conditionalFormatting>
  <conditionalFormatting sqref="K13:K25">
    <cfRule type="expression" dxfId="16" priority="5" stopIfTrue="1">
      <formula>K13&gt;=30</formula>
    </cfRule>
    <cfRule type="expression" dxfId="15" priority="6" stopIfTrue="1">
      <formula>K13&lt;=-30</formula>
    </cfRule>
  </conditionalFormatting>
  <conditionalFormatting sqref="K27:K34">
    <cfRule type="expression" dxfId="14" priority="3" stopIfTrue="1">
      <formula>K27&gt;=30</formula>
    </cfRule>
    <cfRule type="expression" dxfId="13" priority="4" stopIfTrue="1">
      <formula>K27&lt;=-30</formula>
    </cfRule>
  </conditionalFormatting>
  <conditionalFormatting sqref="K36:K47">
    <cfRule type="expression" dxfId="12" priority="2" stopIfTrue="1">
      <formula>K36&lt;=-30</formula>
    </cfRule>
    <cfRule type="expression" dxfId="11" priority="1" stopIfTrue="1">
      <formula>K36&gt;=30</formula>
    </cfRule>
  </conditionalFormatting>
  <conditionalFormatting sqref="L8:O11">
    <cfRule type="expression" dxfId="10" priority="79" stopIfTrue="1">
      <formula>L8&lt;=-4</formula>
    </cfRule>
    <cfRule type="expression" dxfId="9" priority="80" stopIfTrue="1">
      <formula>L8&gt;=4</formula>
    </cfRule>
    <cfRule type="expression" dxfId="8" priority="81" stopIfTrue="1">
      <formula>AND(L8&gt;=2,L8&lt;4)</formula>
    </cfRule>
  </conditionalFormatting>
  <conditionalFormatting sqref="L13:O25">
    <cfRule type="expression" dxfId="7" priority="73" stopIfTrue="1">
      <formula>L13&lt;=-4</formula>
    </cfRule>
    <cfRule type="expression" dxfId="6" priority="74" stopIfTrue="1">
      <formula>L13&gt;=4</formula>
    </cfRule>
    <cfRule type="expression" dxfId="5" priority="75" stopIfTrue="1">
      <formula>AND(L13&gt;=2,L13&lt;4)</formula>
    </cfRule>
  </conditionalFormatting>
  <conditionalFormatting sqref="L27:O34">
    <cfRule type="expression" dxfId="4" priority="70" stopIfTrue="1">
      <formula>L27&lt;=-4</formula>
    </cfRule>
    <cfRule type="expression" dxfId="3" priority="71" stopIfTrue="1">
      <formula>L27&gt;=4</formula>
    </cfRule>
    <cfRule type="expression" dxfId="2" priority="72" stopIfTrue="1">
      <formula>AND(L27&gt;=2,L27&lt;4)</formula>
    </cfRule>
  </conditionalFormatting>
  <pageMargins left="0.75" right="0.75" top="1" bottom="1" header="0.5" footer="0.5"/>
  <pageSetup orientation="portrait" r:id="rId1"/>
  <headerFooter>
    <oddHeader>&amp;R&amp;"Aptos"&amp;10&amp;K000000 Category/Catégorie: Non-Sensitive/Non-Délicat&amp;1#_x000D_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FB4E-5C62-40CA-B116-40D75029CB1A}">
  <dimension ref="A1:Z85"/>
  <sheetViews>
    <sheetView workbookViewId="0">
      <selection activeCell="C6" sqref="C6"/>
    </sheetView>
  </sheetViews>
  <sheetFormatPr defaultColWidth="9.1796875" defaultRowHeight="14.5"/>
  <cols>
    <col min="1" max="1" width="27.54296875" customWidth="1"/>
    <col min="2" max="2" width="13.81640625" customWidth="1"/>
    <col min="3" max="3" width="14.54296875" customWidth="1"/>
    <col min="4" max="8" width="10.54296875" customWidth="1"/>
    <col min="9" max="9" width="10.81640625" customWidth="1"/>
    <col min="10" max="10" width="11.453125" customWidth="1"/>
    <col min="11" max="11" width="10.54296875" customWidth="1"/>
    <col min="12" max="12" width="11.453125" customWidth="1"/>
    <col min="13" max="13" width="13.453125" customWidth="1"/>
    <col min="14" max="14" width="11.453125" customWidth="1"/>
    <col min="15" max="17" width="10.54296875" bestFit="1" customWidth="1"/>
    <col min="18" max="18" width="10.54296875" customWidth="1"/>
    <col min="19" max="19" width="10.54296875" bestFit="1" customWidth="1"/>
  </cols>
  <sheetData>
    <row r="1" spans="1:26">
      <c r="A1" s="14" t="s">
        <v>4</v>
      </c>
      <c r="B1" s="14" t="s">
        <v>162</v>
      </c>
    </row>
    <row r="2" spans="1:26">
      <c r="A2" s="14" t="s">
        <v>163</v>
      </c>
      <c r="C2" s="20">
        <f ca="1">TODAY()</f>
        <v>46230</v>
      </c>
      <c r="D2" s="20">
        <f ca="1">TODAY() - 1</f>
        <v>46229</v>
      </c>
      <c r="E2" s="20">
        <f ca="1">TODAY() - 2</f>
        <v>46228</v>
      </c>
      <c r="F2" s="20">
        <f ca="1">TODAY() - 3</f>
        <v>46227</v>
      </c>
      <c r="G2" s="20">
        <f ca="1">TODAY() - 4</f>
        <v>46226</v>
      </c>
      <c r="H2" s="20">
        <f ca="1">TODAY() - 5</f>
        <v>46225</v>
      </c>
      <c r="I2" s="20">
        <f ca="1">TODAY() - 6</f>
        <v>46224</v>
      </c>
      <c r="J2" s="20">
        <f ca="1">TODAY() - 7</f>
        <v>46223</v>
      </c>
      <c r="K2" s="20">
        <f ca="1">TODAY() - 8</f>
        <v>46222</v>
      </c>
      <c r="L2" s="20">
        <f ca="1">TODAY() - 9</f>
        <v>46221</v>
      </c>
      <c r="M2" s="20">
        <f ca="1">TODAY() - 10</f>
        <v>46220</v>
      </c>
      <c r="N2" s="20">
        <f ca="1">TODAY() - 11</f>
        <v>46219</v>
      </c>
      <c r="O2" s="20">
        <f ca="1">TODAY() - 12</f>
        <v>46218</v>
      </c>
      <c r="P2" s="20">
        <f ca="1">TODAY() - 13</f>
        <v>46217</v>
      </c>
      <c r="Q2" s="20">
        <f ca="1">TODAY() - 14</f>
        <v>46216</v>
      </c>
      <c r="R2" s="20">
        <f ca="1">EDATE(TODAY(), -3)</f>
        <v>46139</v>
      </c>
      <c r="S2" s="20">
        <f ca="1">EDATE(TODAY(), -12)</f>
        <v>45865</v>
      </c>
      <c r="T2" t="s">
        <v>201</v>
      </c>
      <c r="U2" t="s">
        <v>202</v>
      </c>
      <c r="V2" t="s">
        <v>203</v>
      </c>
      <c r="W2" t="s">
        <v>204</v>
      </c>
      <c r="X2" t="s">
        <v>205</v>
      </c>
      <c r="Y2" t="s">
        <v>206</v>
      </c>
    </row>
    <row r="3" spans="1:26">
      <c r="A3" t="s">
        <v>12</v>
      </c>
      <c r="B3" s="19" t="s">
        <v>164</v>
      </c>
      <c r="C3">
        <f ca="1">_xll.ciqfunctions.udf.CIQ($B3,"IQ_CDS_mid",C$2)</f>
        <v>124.35599999999999</v>
      </c>
      <c r="D3">
        <f ca="1">_xll.ciqfunctions.udf.CIQ($B3,"IQ_CDS_mid",D$2)</f>
        <v>124.35599999999999</v>
      </c>
      <c r="E3">
        <f ca="1">_xll.ciqfunctions.udf.CIQ($B3,"IQ_CDS_mid",E$2)</f>
        <v>124.35599999999999</v>
      </c>
      <c r="F3">
        <f ca="1">_xll.ciqfunctions.udf.CIQ($B3,"IQ_CDS_mid",F$2)</f>
        <v>124.35599999999999</v>
      </c>
      <c r="G3">
        <f ca="1">_xll.ciqfunctions.udf.CIQ($B3,"IQ_CDS_mid",G$2)</f>
        <v>125.43989999999999</v>
      </c>
      <c r="H3">
        <f ca="1">_xll.ciqfunctions.udf.CIQ($B3,"IQ_CDS_mid",H$2)</f>
        <v>120.7394</v>
      </c>
      <c r="I3">
        <f ca="1">_xll.ciqfunctions.udf.CIQ($B3,"IQ_CDS_mid",I$2)</f>
        <v>122.3779</v>
      </c>
      <c r="J3">
        <f ca="1">_xll.ciqfunctions.udf.CIQ($B3,"IQ_CDS_mid",J$2)</f>
        <v>124.0304</v>
      </c>
      <c r="K3">
        <f ca="1">_xll.ciqfunctions.udf.CIQ($B3,"IQ_CDS_mid",K$2)</f>
        <v>125.47320000000001</v>
      </c>
      <c r="L3">
        <f ca="1">_xll.ciqfunctions.udf.CIQ($B3,"IQ_CDS_mid",L$2)</f>
        <v>125.47320000000001</v>
      </c>
      <c r="M3">
        <f ca="1">_xll.ciqfunctions.udf.CIQ($B3,"IQ_CDS_mid",M$2)</f>
        <v>125.47320000000001</v>
      </c>
      <c r="N3">
        <f ca="1">_xll.ciqfunctions.udf.CIQ($B3,"IQ_CDS_mid",N$2)</f>
        <v>123.6443</v>
      </c>
      <c r="O3">
        <f ca="1">_xll.ciqfunctions.udf.CIQ($B3,"IQ_CDS_mid",O$2)</f>
        <v>122.6678</v>
      </c>
      <c r="P3">
        <f ca="1">_xll.ciqfunctions.udf.CIQ($B3,"IQ_CDS_mid",P$2)</f>
        <v>123.6118</v>
      </c>
      <c r="Q3">
        <f ca="1">_xll.ciqfunctions.udf.CIQ($B3,"IQ_CDS_mid",Q$2)</f>
        <v>124.732</v>
      </c>
      <c r="R3">
        <f ca="1">_xll.ciqfunctions.udf.CIQ($B3,"IQ_CDS_mid",R$2)</f>
        <v>123.7069</v>
      </c>
      <c r="S3">
        <f ca="1">_xll.ciqfunctions.udf.CIQ($B3,"IQ_CDS_mid",S$2)</f>
        <v>148.3878</v>
      </c>
      <c r="T3">
        <f ca="1">C3-H3</f>
        <v>3.6165999999999912</v>
      </c>
      <c r="U3">
        <f ca="1">C3-M3</f>
        <v>-1.1172000000000111</v>
      </c>
      <c r="V3">
        <f ca="1">C3-Q3</f>
        <v>-0.37600000000000477</v>
      </c>
      <c r="W3">
        <f ca="1">C3-R3</f>
        <v>0.64909999999999002</v>
      </c>
      <c r="X3">
        <f t="shared" ref="X3:X40" ca="1" si="0">C3-S3</f>
        <v>-24.031800000000004</v>
      </c>
      <c r="Y3" t="s">
        <v>207</v>
      </c>
      <c r="Z3" t="s">
        <v>208</v>
      </c>
    </row>
    <row r="4" spans="1:26">
      <c r="A4" t="s">
        <v>13</v>
      </c>
      <c r="B4" s="19" t="s">
        <v>165</v>
      </c>
      <c r="C4">
        <f ca="1">_xll.ciqfunctions.udf.CIQ($B4,"IQ_CDS_mid",C$2)</f>
        <v>11.034000000000001</v>
      </c>
      <c r="D4">
        <f ca="1">_xll.ciqfunctions.udf.CIQ($B4,"IQ_CDS_mid",D$2)</f>
        <v>11.034000000000001</v>
      </c>
      <c r="E4">
        <f ca="1">_xll.ciqfunctions.udf.CIQ($B4,"IQ_CDS_mid",E$2)</f>
        <v>11.034000000000001</v>
      </c>
      <c r="F4">
        <f ca="1">_xll.ciqfunctions.udf.CIQ($B4,"IQ_CDS_mid",F$2)</f>
        <v>11.034000000000001</v>
      </c>
      <c r="G4">
        <f ca="1">_xll.ciqfunctions.udf.CIQ($B4,"IQ_CDS_mid",G$2)</f>
        <v>10.9794</v>
      </c>
      <c r="H4">
        <f ca="1">_xll.ciqfunctions.udf.CIQ($B4,"IQ_CDS_mid",H$2)</f>
        <v>11.0015</v>
      </c>
      <c r="I4">
        <f ca="1">_xll.ciqfunctions.udf.CIQ($B4,"IQ_CDS_mid",I$2)</f>
        <v>10.995699999999999</v>
      </c>
      <c r="J4">
        <f ca="1">_xll.ciqfunctions.udf.CIQ($B4,"IQ_CDS_mid",J$2)</f>
        <v>11.045</v>
      </c>
      <c r="K4">
        <f ca="1">_xll.ciqfunctions.udf.CIQ($B4,"IQ_CDS_mid",K$2)</f>
        <v>11.098699999999999</v>
      </c>
      <c r="L4">
        <f ca="1">_xll.ciqfunctions.udf.CIQ($B4,"IQ_CDS_mid",L$2)</f>
        <v>11.098699999999999</v>
      </c>
      <c r="M4">
        <f ca="1">_xll.ciqfunctions.udf.CIQ($B4,"IQ_CDS_mid",M$2)</f>
        <v>11.098699999999999</v>
      </c>
      <c r="N4">
        <f ca="1">_xll.ciqfunctions.udf.CIQ($B4,"IQ_CDS_mid",N$2)</f>
        <v>11.132099999999999</v>
      </c>
      <c r="O4">
        <f ca="1">_xll.ciqfunctions.udf.CIQ($B4,"IQ_CDS_mid",O$2)</f>
        <v>11.144399999999999</v>
      </c>
      <c r="P4">
        <f ca="1">_xll.ciqfunctions.udf.CIQ($B4,"IQ_CDS_mid",P$2)</f>
        <v>11.210100000000001</v>
      </c>
      <c r="Q4">
        <f ca="1">_xll.ciqfunctions.udf.CIQ($B4,"IQ_CDS_mid",Q$2)</f>
        <v>11.200799999999999</v>
      </c>
      <c r="R4">
        <f ca="1">_xll.ciqfunctions.udf.CIQ($B4,"IQ_CDS_mid",R$2)</f>
        <v>12.354799999999999</v>
      </c>
      <c r="S4">
        <f ca="1">_xll.ciqfunctions.udf.CIQ($B4,"IQ_CDS_mid",S$2)</f>
        <v>15.9732</v>
      </c>
      <c r="T4">
        <f ca="1">C4-H4</f>
        <v>3.2500000000000639E-2</v>
      </c>
      <c r="U4">
        <f ca="1">C4-M4</f>
        <v>-6.4699999999998425E-2</v>
      </c>
      <c r="V4">
        <f ca="1">C4-Q4</f>
        <v>-0.16679999999999851</v>
      </c>
      <c r="W4">
        <f ca="1">C4-R4</f>
        <v>-1.3207999999999984</v>
      </c>
      <c r="X4">
        <f t="shared" ca="1" si="0"/>
        <v>-4.9391999999999996</v>
      </c>
      <c r="Y4">
        <v>150</v>
      </c>
      <c r="Z4">
        <v>10</v>
      </c>
    </row>
    <row r="5" spans="1:26">
      <c r="A5" t="s">
        <v>14</v>
      </c>
      <c r="B5" s="19" t="s">
        <v>166</v>
      </c>
      <c r="C5">
        <f ca="1">_xll.ciqfunctions.udf.CIQ($B5,"IQ_CDS_mid",C$2)</f>
        <v>87.801100000000005</v>
      </c>
      <c r="D5">
        <f ca="1">_xll.ciqfunctions.udf.CIQ($B5,"IQ_CDS_mid",D$2)</f>
        <v>87.801100000000005</v>
      </c>
      <c r="E5">
        <f ca="1">_xll.ciqfunctions.udf.CIQ($B5,"IQ_CDS_mid",E$2)</f>
        <v>87.801100000000005</v>
      </c>
      <c r="F5">
        <f ca="1">_xll.ciqfunctions.udf.CIQ($B5,"IQ_CDS_mid",F$2)</f>
        <v>87.801100000000005</v>
      </c>
      <c r="G5">
        <f ca="1">_xll.ciqfunctions.udf.CIQ($B5,"IQ_CDS_mid",G$2)</f>
        <v>88.940399999999997</v>
      </c>
      <c r="H5">
        <f ca="1">_xll.ciqfunctions.udf.CIQ($B5,"IQ_CDS_mid",H$2)</f>
        <v>85.874700000000004</v>
      </c>
      <c r="I5">
        <f ca="1">_xll.ciqfunctions.udf.CIQ($B5,"IQ_CDS_mid",I$2)</f>
        <v>85.657700000000006</v>
      </c>
      <c r="J5">
        <f ca="1">_xll.ciqfunctions.udf.CIQ($B5,"IQ_CDS_mid",J$2)</f>
        <v>86.121700000000004</v>
      </c>
      <c r="K5">
        <f ca="1">_xll.ciqfunctions.udf.CIQ($B5,"IQ_CDS_mid",K$2)</f>
        <v>86.954099999999997</v>
      </c>
      <c r="L5">
        <f ca="1">_xll.ciqfunctions.udf.CIQ($B5,"IQ_CDS_mid",L$2)</f>
        <v>86.954099999999997</v>
      </c>
      <c r="M5">
        <f ca="1">_xll.ciqfunctions.udf.CIQ($B5,"IQ_CDS_mid",M$2)</f>
        <v>86.954099999999997</v>
      </c>
      <c r="N5">
        <f ca="1">_xll.ciqfunctions.udf.CIQ($B5,"IQ_CDS_mid",N$2)</f>
        <v>86.100300000000004</v>
      </c>
      <c r="O5">
        <f ca="1">_xll.ciqfunctions.udf.CIQ($B5,"IQ_CDS_mid",O$2)</f>
        <v>85.436800000000005</v>
      </c>
      <c r="P5">
        <f ca="1">_xll.ciqfunctions.udf.CIQ($B5,"IQ_CDS_mid",P$2)</f>
        <v>85.4435</v>
      </c>
      <c r="Q5">
        <f ca="1">_xll.ciqfunctions.udf.CIQ($B5,"IQ_CDS_mid",Q$2)</f>
        <v>85.848500000000001</v>
      </c>
      <c r="R5">
        <f ca="1">_xll.ciqfunctions.udf.CIQ($B5,"IQ_CDS_mid",R$2)</f>
        <v>88.943700000000007</v>
      </c>
      <c r="S5">
        <f ca="1">_xll.ciqfunctions.udf.CIQ($B5,"IQ_CDS_mid",S$2)</f>
        <v>112.3982</v>
      </c>
      <c r="T5">
        <f ca="1">C5-H5</f>
        <v>1.926400000000001</v>
      </c>
      <c r="U5">
        <f ca="1">C5-M5</f>
        <v>0.84700000000000841</v>
      </c>
      <c r="V5">
        <f ca="1">C5-Q5</f>
        <v>1.9526000000000039</v>
      </c>
      <c r="W5">
        <f ca="1">C5-R5</f>
        <v>-1.1426000000000016</v>
      </c>
      <c r="X5">
        <f t="shared" ca="1" si="0"/>
        <v>-24.597099999999998</v>
      </c>
    </row>
    <row r="6" spans="1:26">
      <c r="A6" t="s">
        <v>15</v>
      </c>
      <c r="B6" s="19" t="s">
        <v>167</v>
      </c>
      <c r="C6">
        <f ca="1">_xll.ciqfunctions.udf.CIQ($B6,"IQ_CDS_mid",C$2)</f>
        <v>40.570599999999999</v>
      </c>
      <c r="D6">
        <f ca="1">_xll.ciqfunctions.udf.CIQ($B6,"IQ_CDS_mid",D$2)</f>
        <v>40.570599999999999</v>
      </c>
      <c r="E6">
        <f ca="1">_xll.ciqfunctions.udf.CIQ($B6,"IQ_CDS_mid",E$2)</f>
        <v>40.570599999999999</v>
      </c>
      <c r="F6">
        <f ca="1">_xll.ciqfunctions.udf.CIQ($B6,"IQ_CDS_mid",F$2)</f>
        <v>40.570599999999999</v>
      </c>
      <c r="G6">
        <f ca="1">_xll.ciqfunctions.udf.CIQ($B6,"IQ_CDS_mid",G$2)</f>
        <v>40.75</v>
      </c>
      <c r="H6">
        <f ca="1">_xll.ciqfunctions.udf.CIQ($B6,"IQ_CDS_mid",H$2)</f>
        <v>41.1952</v>
      </c>
      <c r="I6">
        <f ca="1">_xll.ciqfunctions.udf.CIQ($B6,"IQ_CDS_mid",I$2)</f>
        <v>41.333300000000001</v>
      </c>
      <c r="J6">
        <f ca="1">_xll.ciqfunctions.udf.CIQ($B6,"IQ_CDS_mid",J$2)</f>
        <v>41.5</v>
      </c>
      <c r="K6">
        <f ca="1">_xll.ciqfunctions.udf.CIQ($B6,"IQ_CDS_mid",K$2)</f>
        <v>41.833300000000001</v>
      </c>
      <c r="L6">
        <f ca="1">_xll.ciqfunctions.udf.CIQ($B6,"IQ_CDS_mid",L$2)</f>
        <v>41.833300000000001</v>
      </c>
      <c r="M6">
        <f ca="1">_xll.ciqfunctions.udf.CIQ($B6,"IQ_CDS_mid",M$2)</f>
        <v>41.833300000000001</v>
      </c>
      <c r="N6">
        <f ca="1">_xll.ciqfunctions.udf.CIQ($B6,"IQ_CDS_mid",N$2)</f>
        <v>41.938299999999998</v>
      </c>
      <c r="O6">
        <f ca="1">_xll.ciqfunctions.udf.CIQ($B6,"IQ_CDS_mid",O$2)</f>
        <v>41.75</v>
      </c>
      <c r="P6">
        <f ca="1">_xll.ciqfunctions.udf.CIQ($B6,"IQ_CDS_mid",P$2)</f>
        <v>41.75</v>
      </c>
      <c r="Q6">
        <f ca="1">_xll.ciqfunctions.udf.CIQ($B6,"IQ_CDS_mid",Q$2)</f>
        <v>41.75</v>
      </c>
      <c r="R6">
        <f ca="1">_xll.ciqfunctions.udf.CIQ($B6,"IQ_CDS_mid",R$2)</f>
        <v>38.634799999999998</v>
      </c>
      <c r="S6">
        <f ca="1">_xll.ciqfunctions.udf.CIQ($B6,"IQ_CDS_mid",S$2)</f>
        <v>40.247</v>
      </c>
      <c r="T6">
        <f ca="1">C6-H6</f>
        <v>-0.62460000000000093</v>
      </c>
      <c r="U6">
        <f ca="1">C6-M6</f>
        <v>-1.2627000000000024</v>
      </c>
      <c r="V6">
        <f ca="1">C6-Q6</f>
        <v>-1.1794000000000011</v>
      </c>
      <c r="W6">
        <f ca="1">C6-R6</f>
        <v>1.9358000000000004</v>
      </c>
      <c r="X6">
        <f t="shared" ca="1" si="0"/>
        <v>0.323599999999999</v>
      </c>
    </row>
    <row r="7" spans="1:26">
      <c r="A7" s="14" t="s">
        <v>16</v>
      </c>
      <c r="X7">
        <f t="shared" si="0"/>
        <v>0</v>
      </c>
    </row>
    <row r="8" spans="1:26">
      <c r="A8" t="s">
        <v>17</v>
      </c>
      <c r="B8" s="19" t="s">
        <v>168</v>
      </c>
      <c r="C8">
        <f ca="1">_xll.ciqfunctions.udf.CIQ($B8,"IQ_CDS_mid",C$2)</f>
        <v>11.182399999999999</v>
      </c>
      <c r="D8">
        <f ca="1">_xll.ciqfunctions.udf.CIQ($B8,"IQ_CDS_mid",D$2)</f>
        <v>11.182399999999999</v>
      </c>
      <c r="E8">
        <f ca="1">_xll.ciqfunctions.udf.CIQ($B8,"IQ_CDS_mid",E$2)</f>
        <v>11.182399999999999</v>
      </c>
      <c r="F8">
        <f ca="1">_xll.ciqfunctions.udf.CIQ($B8,"IQ_CDS_mid",F$2)</f>
        <v>11.182399999999999</v>
      </c>
      <c r="G8">
        <f ca="1">_xll.ciqfunctions.udf.CIQ($B8,"IQ_CDS_mid",G$2)</f>
        <v>11.162000000000001</v>
      </c>
      <c r="H8">
        <f ca="1">_xll.ciqfunctions.udf.CIQ($B8,"IQ_CDS_mid",H$2)</f>
        <v>11.059799999999999</v>
      </c>
      <c r="I8">
        <f ca="1">_xll.ciqfunctions.udf.CIQ($B8,"IQ_CDS_mid",I$2)</f>
        <v>11.048999999999999</v>
      </c>
      <c r="J8">
        <f ca="1">_xll.ciqfunctions.udf.CIQ($B8,"IQ_CDS_mid",J$2)</f>
        <v>10.994999999999999</v>
      </c>
      <c r="K8">
        <f ca="1">_xll.ciqfunctions.udf.CIQ($B8,"IQ_CDS_mid",K$2)</f>
        <v>10.98</v>
      </c>
      <c r="L8">
        <f ca="1">_xll.ciqfunctions.udf.CIQ($B8,"IQ_CDS_mid",L$2)</f>
        <v>10.98</v>
      </c>
      <c r="M8">
        <f ca="1">_xll.ciqfunctions.udf.CIQ($B8,"IQ_CDS_mid",M$2)</f>
        <v>10.98</v>
      </c>
      <c r="N8">
        <f ca="1">_xll.ciqfunctions.udf.CIQ($B8,"IQ_CDS_mid",N$2)</f>
        <v>10.9</v>
      </c>
      <c r="O8">
        <f ca="1">_xll.ciqfunctions.udf.CIQ($B8,"IQ_CDS_mid",O$2)</f>
        <v>11</v>
      </c>
      <c r="P8">
        <f ca="1">_xll.ciqfunctions.udf.CIQ($B8,"IQ_CDS_mid",P$2)</f>
        <v>11</v>
      </c>
      <c r="Q8">
        <f ca="1">_xll.ciqfunctions.udf.CIQ($B8,"IQ_CDS_mid",Q$2)</f>
        <v>10.9998</v>
      </c>
      <c r="R8">
        <f ca="1">_xll.ciqfunctions.udf.CIQ($B8,"IQ_CDS_mid",R$2)</f>
        <v>13.1875</v>
      </c>
      <c r="S8">
        <f ca="1">_xll.ciqfunctions.udf.CIQ($B8,"IQ_CDS_mid",S$2)</f>
        <v>15</v>
      </c>
      <c r="T8">
        <f t="shared" ref="T8:T20" ca="1" si="1">C8-H8</f>
        <v>0.12260000000000026</v>
      </c>
      <c r="U8">
        <f t="shared" ref="U8:U20" ca="1" si="2">C8-M8</f>
        <v>0.20239999999999903</v>
      </c>
      <c r="V8">
        <f t="shared" ref="V8:V20" ca="1" si="3">C8-Q8</f>
        <v>0.18259999999999899</v>
      </c>
      <c r="W8">
        <f t="shared" ref="W8:W20" ca="1" si="4">C8-R8</f>
        <v>-2.0051000000000005</v>
      </c>
      <c r="X8">
        <f t="shared" ca="1" si="0"/>
        <v>-3.8176000000000005</v>
      </c>
    </row>
    <row r="9" spans="1:26">
      <c r="A9" t="s">
        <v>18</v>
      </c>
      <c r="B9" s="19" t="s">
        <v>169</v>
      </c>
      <c r="C9">
        <f ca="1">_xll.ciqfunctions.udf.CIQ($B9,"IQ_CDS_mid",C$2)</f>
        <v>17.552399999999999</v>
      </c>
      <c r="D9">
        <f ca="1">_xll.ciqfunctions.udf.CIQ($B9,"IQ_CDS_mid",D$2)</f>
        <v>17.552399999999999</v>
      </c>
      <c r="E9">
        <f ca="1">_xll.ciqfunctions.udf.CIQ($B9,"IQ_CDS_mid",E$2)</f>
        <v>17.552399999999999</v>
      </c>
      <c r="F9">
        <f ca="1">_xll.ciqfunctions.udf.CIQ($B9,"IQ_CDS_mid",F$2)</f>
        <v>17.552399999999999</v>
      </c>
      <c r="G9">
        <f ca="1">_xll.ciqfunctions.udf.CIQ($B9,"IQ_CDS_mid",G$2)</f>
        <v>17.375</v>
      </c>
      <c r="H9">
        <f ca="1">_xll.ciqfunctions.udf.CIQ($B9,"IQ_CDS_mid",H$2)</f>
        <v>17.375</v>
      </c>
      <c r="I9">
        <f ca="1">_xll.ciqfunctions.udf.CIQ($B9,"IQ_CDS_mid",I$2)</f>
        <v>17.375</v>
      </c>
      <c r="J9">
        <f ca="1">_xll.ciqfunctions.udf.CIQ($B9,"IQ_CDS_mid",J$2)</f>
        <v>17.375</v>
      </c>
      <c r="K9">
        <f ca="1">_xll.ciqfunctions.udf.CIQ($B9,"IQ_CDS_mid",K$2)</f>
        <v>17.375</v>
      </c>
      <c r="L9">
        <f ca="1">_xll.ciqfunctions.udf.CIQ($B9,"IQ_CDS_mid",L$2)</f>
        <v>17.375</v>
      </c>
      <c r="M9">
        <f ca="1">_xll.ciqfunctions.udf.CIQ($B9,"IQ_CDS_mid",M$2)</f>
        <v>17.375</v>
      </c>
      <c r="N9">
        <f ca="1">_xll.ciqfunctions.udf.CIQ($B9,"IQ_CDS_mid",N$2)</f>
        <v>17.375</v>
      </c>
      <c r="O9">
        <f ca="1">_xll.ciqfunctions.udf.CIQ($B9,"IQ_CDS_mid",O$2)</f>
        <v>17.375</v>
      </c>
      <c r="P9">
        <f ca="1">_xll.ciqfunctions.udf.CIQ($B9,"IQ_CDS_mid",P$2)</f>
        <v>17.375</v>
      </c>
      <c r="Q9">
        <f ca="1">_xll.ciqfunctions.udf.CIQ($B9,"IQ_CDS_mid",Q$2)</f>
        <v>17.333300000000001</v>
      </c>
      <c r="R9">
        <f ca="1">_xll.ciqfunctions.udf.CIQ($B9,"IQ_CDS_mid",R$2)</f>
        <v>17.9375</v>
      </c>
      <c r="S9">
        <f ca="1">_xll.ciqfunctions.udf.CIQ($B9,"IQ_CDS_mid",S$2)</f>
        <v>22.666699999999999</v>
      </c>
      <c r="T9">
        <f t="shared" ca="1" si="1"/>
        <v>0.17739999999999867</v>
      </c>
      <c r="U9">
        <f t="shared" ca="1" si="2"/>
        <v>0.17739999999999867</v>
      </c>
      <c r="V9">
        <f t="shared" ca="1" si="3"/>
        <v>0.21909999999999741</v>
      </c>
      <c r="W9">
        <f t="shared" ca="1" si="4"/>
        <v>-0.38510000000000133</v>
      </c>
      <c r="X9">
        <f t="shared" ca="1" si="0"/>
        <v>-5.1143000000000001</v>
      </c>
    </row>
    <row r="10" spans="1:26">
      <c r="A10" t="s">
        <v>19</v>
      </c>
      <c r="B10" s="19" t="s">
        <v>170</v>
      </c>
      <c r="C10">
        <f ca="1">_xll.ciqfunctions.udf.CIQ($B10,"IQ_CDS_mid",C$2)</f>
        <v>10.833299999999999</v>
      </c>
      <c r="D10">
        <f ca="1">_xll.ciqfunctions.udf.CIQ($B10,"IQ_CDS_mid",D$2)</f>
        <v>10.833299999999999</v>
      </c>
      <c r="E10">
        <f ca="1">_xll.ciqfunctions.udf.CIQ($B10,"IQ_CDS_mid",E$2)</f>
        <v>10.833299999999999</v>
      </c>
      <c r="F10">
        <f ca="1">_xll.ciqfunctions.udf.CIQ($B10,"IQ_CDS_mid",F$2)</f>
        <v>10.833299999999999</v>
      </c>
      <c r="G10">
        <f ca="1">_xll.ciqfunctions.udf.CIQ($B10,"IQ_CDS_mid",G$2)</f>
        <v>10.833299999999999</v>
      </c>
      <c r="H10">
        <f ca="1">_xll.ciqfunctions.udf.CIQ($B10,"IQ_CDS_mid",H$2)</f>
        <v>11.166700000000001</v>
      </c>
      <c r="I10">
        <f ca="1">_xll.ciqfunctions.udf.CIQ($B10,"IQ_CDS_mid",I$2)</f>
        <v>11.166700000000001</v>
      </c>
      <c r="J10">
        <f ca="1">_xll.ciqfunctions.udf.CIQ($B10,"IQ_CDS_mid",J$2)</f>
        <v>11.166700000000001</v>
      </c>
      <c r="K10">
        <f ca="1">_xll.ciqfunctions.udf.CIQ($B10,"IQ_CDS_mid",K$2)</f>
        <v>11.166700000000001</v>
      </c>
      <c r="L10">
        <f ca="1">_xll.ciqfunctions.udf.CIQ($B10,"IQ_CDS_mid",L$2)</f>
        <v>11.166700000000001</v>
      </c>
      <c r="M10">
        <f ca="1">_xll.ciqfunctions.udf.CIQ($B10,"IQ_CDS_mid",M$2)</f>
        <v>11.166700000000001</v>
      </c>
      <c r="N10">
        <f ca="1">_xll.ciqfunctions.udf.CIQ($B10,"IQ_CDS_mid",N$2)</f>
        <v>11.393800000000001</v>
      </c>
      <c r="O10">
        <f ca="1">_xll.ciqfunctions.udf.CIQ($B10,"IQ_CDS_mid",O$2)</f>
        <v>11.166700000000001</v>
      </c>
      <c r="P10">
        <f ca="1">_xll.ciqfunctions.udf.CIQ($B10,"IQ_CDS_mid",P$2)</f>
        <v>11.166700000000001</v>
      </c>
      <c r="Q10">
        <f ca="1">_xll.ciqfunctions.udf.CIQ($B10,"IQ_CDS_mid",Q$2)</f>
        <v>11.375400000000001</v>
      </c>
      <c r="R10">
        <f ca="1">_xll.ciqfunctions.udf.CIQ($B10,"IQ_CDS_mid",R$2)</f>
        <v>12.833299999999999</v>
      </c>
      <c r="S10">
        <f ca="1">_xll.ciqfunctions.udf.CIQ($B10,"IQ_CDS_mid",S$2)</f>
        <v>15.495200000000001</v>
      </c>
      <c r="T10">
        <f t="shared" ca="1" si="1"/>
        <v>-0.33340000000000103</v>
      </c>
      <c r="U10">
        <f t="shared" ca="1" si="2"/>
        <v>-0.33340000000000103</v>
      </c>
      <c r="V10">
        <f t="shared" ca="1" si="3"/>
        <v>-0.54210000000000136</v>
      </c>
      <c r="W10">
        <f t="shared" ca="1" si="4"/>
        <v>-2</v>
      </c>
      <c r="X10">
        <f t="shared" ca="1" si="0"/>
        <v>-4.661900000000001</v>
      </c>
    </row>
    <row r="11" spans="1:26">
      <c r="A11" t="s">
        <v>20</v>
      </c>
      <c r="B11" s="19" t="s">
        <v>171</v>
      </c>
      <c r="C11">
        <f ca="1">_xll.ciqfunctions.udf.CIQ($B11,"IQ_CDS_mid",C$2)</f>
        <v>31.7563</v>
      </c>
      <c r="D11">
        <f ca="1">_xll.ciqfunctions.udf.CIQ($B11,"IQ_CDS_mid",D$2)</f>
        <v>31.7563</v>
      </c>
      <c r="E11">
        <f ca="1">_xll.ciqfunctions.udf.CIQ($B11,"IQ_CDS_mid",E$2)</f>
        <v>31.7563</v>
      </c>
      <c r="F11">
        <f ca="1">_xll.ciqfunctions.udf.CIQ($B11,"IQ_CDS_mid",F$2)</f>
        <v>31.7563</v>
      </c>
      <c r="G11">
        <f ca="1">_xll.ciqfunctions.udf.CIQ($B11,"IQ_CDS_mid",G$2)</f>
        <v>31.610399999999998</v>
      </c>
      <c r="H11">
        <f ca="1">_xll.ciqfunctions.udf.CIQ($B11,"IQ_CDS_mid",H$2)</f>
        <v>31.41</v>
      </c>
      <c r="I11">
        <f ca="1">_xll.ciqfunctions.udf.CIQ($B11,"IQ_CDS_mid",I$2)</f>
        <v>31.45</v>
      </c>
      <c r="J11">
        <f ca="1">_xll.ciqfunctions.udf.CIQ($B11,"IQ_CDS_mid",J$2)</f>
        <v>31.45</v>
      </c>
      <c r="K11">
        <f ca="1">_xll.ciqfunctions.udf.CIQ($B11,"IQ_CDS_mid",K$2)</f>
        <v>31.45</v>
      </c>
      <c r="L11">
        <f ca="1">_xll.ciqfunctions.udf.CIQ($B11,"IQ_CDS_mid",L$2)</f>
        <v>31.45</v>
      </c>
      <c r="M11">
        <f ca="1">_xll.ciqfunctions.udf.CIQ($B11,"IQ_CDS_mid",M$2)</f>
        <v>31.45</v>
      </c>
      <c r="N11">
        <f ca="1">_xll.ciqfunctions.udf.CIQ($B11,"IQ_CDS_mid",N$2)</f>
        <v>31.25</v>
      </c>
      <c r="O11">
        <f ca="1">_xll.ciqfunctions.udf.CIQ($B11,"IQ_CDS_mid",O$2)</f>
        <v>31.160900000000002</v>
      </c>
      <c r="P11">
        <f ca="1">_xll.ciqfunctions.udf.CIQ($B11,"IQ_CDS_mid",P$2)</f>
        <v>31.2224</v>
      </c>
      <c r="Q11">
        <f ca="1">_xll.ciqfunctions.udf.CIQ($B11,"IQ_CDS_mid",Q$2)</f>
        <v>30.8581</v>
      </c>
      <c r="R11">
        <f ca="1">_xll.ciqfunctions.udf.CIQ($B11,"IQ_CDS_mid",R$2)</f>
        <v>27.8477</v>
      </c>
      <c r="S11">
        <f ca="1">_xll.ciqfunctions.udf.CIQ($B11,"IQ_CDS_mid",S$2)</f>
        <v>32.178100000000001</v>
      </c>
      <c r="T11">
        <f t="shared" ca="1" si="1"/>
        <v>0.34629999999999939</v>
      </c>
      <c r="U11">
        <f t="shared" ca="1" si="2"/>
        <v>0.30630000000000024</v>
      </c>
      <c r="V11">
        <f t="shared" ca="1" si="3"/>
        <v>0.89819999999999922</v>
      </c>
      <c r="W11">
        <f t="shared" ca="1" si="4"/>
        <v>3.9085999999999999</v>
      </c>
      <c r="X11">
        <f t="shared" ca="1" si="0"/>
        <v>-0.42180000000000106</v>
      </c>
    </row>
    <row r="12" spans="1:26">
      <c r="A12" t="s">
        <v>21</v>
      </c>
      <c r="B12" s="19" t="s">
        <v>172</v>
      </c>
      <c r="C12">
        <f ca="1">_xll.ciqfunctions.udf.CIQ($B12,"IQ_CDS_mid",C$2)</f>
        <v>7.0260999999999996</v>
      </c>
      <c r="D12">
        <f ca="1">_xll.ciqfunctions.udf.CIQ($B12,"IQ_CDS_mid",D$2)</f>
        <v>7.0260999999999996</v>
      </c>
      <c r="E12">
        <f ca="1">_xll.ciqfunctions.udf.CIQ($B12,"IQ_CDS_mid",E$2)</f>
        <v>7.0260999999999996</v>
      </c>
      <c r="F12">
        <f ca="1">_xll.ciqfunctions.udf.CIQ($B12,"IQ_CDS_mid",F$2)</f>
        <v>7.0260999999999996</v>
      </c>
      <c r="G12">
        <f ca="1">_xll.ciqfunctions.udf.CIQ($B12,"IQ_CDS_mid",G$2)</f>
        <v>7.1041999999999996</v>
      </c>
      <c r="H12">
        <f ca="1">_xll.ciqfunctions.udf.CIQ($B12,"IQ_CDS_mid",H$2)</f>
        <v>7.0212000000000003</v>
      </c>
      <c r="I12">
        <f ca="1">_xll.ciqfunctions.udf.CIQ($B12,"IQ_CDS_mid",I$2)</f>
        <v>7.12</v>
      </c>
      <c r="J12">
        <f ca="1">_xll.ciqfunctions.udf.CIQ($B12,"IQ_CDS_mid",J$2)</f>
        <v>7.1002000000000001</v>
      </c>
      <c r="K12">
        <f ca="1">_xll.ciqfunctions.udf.CIQ($B12,"IQ_CDS_mid",K$2)</f>
        <v>7.1009000000000002</v>
      </c>
      <c r="L12">
        <f ca="1">_xll.ciqfunctions.udf.CIQ($B12,"IQ_CDS_mid",L$2)</f>
        <v>7.1009000000000002</v>
      </c>
      <c r="M12">
        <f ca="1">_xll.ciqfunctions.udf.CIQ($B12,"IQ_CDS_mid",M$2)</f>
        <v>7.1009000000000002</v>
      </c>
      <c r="N12">
        <f ca="1">_xll.ciqfunctions.udf.CIQ($B12,"IQ_CDS_mid",N$2)</f>
        <v>7.0042999999999997</v>
      </c>
      <c r="O12">
        <f ca="1">_xll.ciqfunctions.udf.CIQ($B12,"IQ_CDS_mid",O$2)</f>
        <v>7.0171000000000001</v>
      </c>
      <c r="P12">
        <f ca="1">_xll.ciqfunctions.udf.CIQ($B12,"IQ_CDS_mid",P$2)</f>
        <v>7.1001000000000003</v>
      </c>
      <c r="Q12">
        <f ca="1">_xll.ciqfunctions.udf.CIQ($B12,"IQ_CDS_mid",Q$2)</f>
        <v>7.0004999999999997</v>
      </c>
      <c r="R12">
        <f ca="1">_xll.ciqfunctions.udf.CIQ($B12,"IQ_CDS_mid",R$2)</f>
        <v>9.0663999999999998</v>
      </c>
      <c r="S12">
        <f ca="1">_xll.ciqfunctions.udf.CIQ($B12,"IQ_CDS_mid",S$2)</f>
        <v>8.3332999999999995</v>
      </c>
      <c r="T12">
        <f t="shared" ca="1" si="1"/>
        <v>4.8999999999992383E-3</v>
      </c>
      <c r="U12">
        <f t="shared" ca="1" si="2"/>
        <v>-7.4800000000000644E-2</v>
      </c>
      <c r="V12">
        <f t="shared" ca="1" si="3"/>
        <v>2.5599999999999845E-2</v>
      </c>
      <c r="W12">
        <f t="shared" ca="1" si="4"/>
        <v>-2.0403000000000002</v>
      </c>
      <c r="X12">
        <f t="shared" ca="1" si="0"/>
        <v>-1.3071999999999999</v>
      </c>
    </row>
    <row r="13" spans="1:26">
      <c r="A13" t="s">
        <v>22</v>
      </c>
      <c r="B13" s="19" t="s">
        <v>173</v>
      </c>
      <c r="C13">
        <f ca="1">_xll.ciqfunctions.udf.CIQ($B13,"IQ_CDS_mid",C$2)</f>
        <v>29.833300000000001</v>
      </c>
      <c r="D13">
        <f ca="1">_xll.ciqfunctions.udf.CIQ($B13,"IQ_CDS_mid",D$2)</f>
        <v>29.833300000000001</v>
      </c>
      <c r="E13">
        <f ca="1">_xll.ciqfunctions.udf.CIQ($B13,"IQ_CDS_mid",E$2)</f>
        <v>29.833300000000001</v>
      </c>
      <c r="F13">
        <f ca="1">_xll.ciqfunctions.udf.CIQ($B13,"IQ_CDS_mid",F$2)</f>
        <v>29.833300000000001</v>
      </c>
      <c r="G13">
        <f ca="1">_xll.ciqfunctions.udf.CIQ($B13,"IQ_CDS_mid",G$2)</f>
        <v>29.75</v>
      </c>
      <c r="H13">
        <f ca="1">_xll.ciqfunctions.udf.CIQ($B13,"IQ_CDS_mid",H$2)</f>
        <v>29.5</v>
      </c>
      <c r="I13">
        <f ca="1">_xll.ciqfunctions.udf.CIQ($B13,"IQ_CDS_mid",I$2)</f>
        <v>29.625</v>
      </c>
      <c r="J13">
        <f ca="1">_xll.ciqfunctions.udf.CIQ($B13,"IQ_CDS_mid",J$2)</f>
        <v>29.625</v>
      </c>
      <c r="K13">
        <f ca="1">_xll.ciqfunctions.udf.CIQ($B13,"IQ_CDS_mid",K$2)</f>
        <v>29.625</v>
      </c>
      <c r="L13">
        <f ca="1">_xll.ciqfunctions.udf.CIQ($B13,"IQ_CDS_mid",L$2)</f>
        <v>29.625</v>
      </c>
      <c r="M13">
        <f ca="1">_xll.ciqfunctions.udf.CIQ($B13,"IQ_CDS_mid",M$2)</f>
        <v>29.625</v>
      </c>
      <c r="N13">
        <f ca="1">_xll.ciqfunctions.udf.CIQ($B13,"IQ_CDS_mid",N$2)</f>
        <v>29.333300000000001</v>
      </c>
      <c r="O13">
        <f ca="1">_xll.ciqfunctions.udf.CIQ($B13,"IQ_CDS_mid",O$2)</f>
        <v>29.4375</v>
      </c>
      <c r="P13">
        <f ca="1">_xll.ciqfunctions.udf.CIQ($B13,"IQ_CDS_mid",P$2)</f>
        <v>29.3507</v>
      </c>
      <c r="Q13">
        <f ca="1">_xll.ciqfunctions.udf.CIQ($B13,"IQ_CDS_mid",Q$2)</f>
        <v>29.182700000000001</v>
      </c>
      <c r="R13">
        <f ca="1">_xll.ciqfunctions.udf.CIQ($B13,"IQ_CDS_mid",R$2)</f>
        <v>31.1633</v>
      </c>
      <c r="S13">
        <f ca="1">_xll.ciqfunctions.udf.CIQ($B13,"IQ_CDS_mid",S$2)</f>
        <v>42.405799999999999</v>
      </c>
      <c r="T13">
        <f t="shared" ca="1" si="1"/>
        <v>0.33330000000000126</v>
      </c>
      <c r="U13">
        <f t="shared" ca="1" si="2"/>
        <v>0.20830000000000126</v>
      </c>
      <c r="V13">
        <f t="shared" ca="1" si="3"/>
        <v>0.65060000000000073</v>
      </c>
      <c r="W13">
        <f t="shared" ca="1" si="4"/>
        <v>-1.3299999999999983</v>
      </c>
      <c r="X13">
        <f t="shared" ca="1" si="0"/>
        <v>-12.572499999999998</v>
      </c>
    </row>
    <row r="14" spans="1:26">
      <c r="A14" t="s">
        <v>23</v>
      </c>
      <c r="B14" s="19" t="s">
        <v>174</v>
      </c>
      <c r="C14">
        <f ca="1">_xll.ciqfunctions.udf.CIQ($B14,"IQ_CDS_mid",C$2)</f>
        <v>14.5625</v>
      </c>
      <c r="D14">
        <f ca="1">_xll.ciqfunctions.udf.CIQ($B14,"IQ_CDS_mid",D$2)</f>
        <v>14.5625</v>
      </c>
      <c r="E14">
        <f ca="1">_xll.ciqfunctions.udf.CIQ($B14,"IQ_CDS_mid",E$2)</f>
        <v>14.5625</v>
      </c>
      <c r="F14">
        <f ca="1">_xll.ciqfunctions.udf.CIQ($B14,"IQ_CDS_mid",F$2)</f>
        <v>14.5625</v>
      </c>
      <c r="G14">
        <f ca="1">_xll.ciqfunctions.udf.CIQ($B14,"IQ_CDS_mid",G$2)</f>
        <v>14.5625</v>
      </c>
      <c r="H14">
        <f ca="1">_xll.ciqfunctions.udf.CIQ($B14,"IQ_CDS_mid",H$2)</f>
        <v>14.5625</v>
      </c>
      <c r="I14">
        <f ca="1">_xll.ciqfunctions.udf.CIQ($B14,"IQ_CDS_mid",I$2)</f>
        <v>14.5625</v>
      </c>
      <c r="J14">
        <f ca="1">_xll.ciqfunctions.udf.CIQ($B14,"IQ_CDS_mid",J$2)</f>
        <v>14.5</v>
      </c>
      <c r="K14">
        <f ca="1">_xll.ciqfunctions.udf.CIQ($B14,"IQ_CDS_mid",K$2)</f>
        <v>14.5625</v>
      </c>
      <c r="L14">
        <f ca="1">_xll.ciqfunctions.udf.CIQ($B14,"IQ_CDS_mid",L$2)</f>
        <v>14.5625</v>
      </c>
      <c r="M14">
        <f ca="1">_xll.ciqfunctions.udf.CIQ($B14,"IQ_CDS_mid",M$2)</f>
        <v>14.5625</v>
      </c>
      <c r="N14">
        <f ca="1">_xll.ciqfunctions.udf.CIQ($B14,"IQ_CDS_mid",N$2)</f>
        <v>14.4375</v>
      </c>
      <c r="O14">
        <f ca="1">_xll.ciqfunctions.udf.CIQ($B14,"IQ_CDS_mid",O$2)</f>
        <v>14.5625</v>
      </c>
      <c r="P14">
        <f ca="1">_xll.ciqfunctions.udf.CIQ($B14,"IQ_CDS_mid",P$2)</f>
        <v>14.5</v>
      </c>
      <c r="Q14">
        <f ca="1">_xll.ciqfunctions.udf.CIQ($B14,"IQ_CDS_mid",Q$2)</f>
        <v>14.333299999999999</v>
      </c>
      <c r="R14">
        <f ca="1">_xll.ciqfunctions.udf.CIQ($B14,"IQ_CDS_mid",R$2)</f>
        <v>15.75</v>
      </c>
      <c r="S14">
        <f ca="1">_xll.ciqfunctions.udf.CIQ($B14,"IQ_CDS_mid",S$2)</f>
        <v>17.666699999999999</v>
      </c>
      <c r="T14">
        <f t="shared" ca="1" si="1"/>
        <v>0</v>
      </c>
      <c r="U14">
        <f t="shared" ca="1" si="2"/>
        <v>0</v>
      </c>
      <c r="V14">
        <f t="shared" ca="1" si="3"/>
        <v>0.22920000000000051</v>
      </c>
      <c r="W14">
        <f t="shared" ca="1" si="4"/>
        <v>-1.1875</v>
      </c>
      <c r="X14">
        <f t="shared" ca="1" si="0"/>
        <v>-3.1041999999999987</v>
      </c>
    </row>
    <row r="15" spans="1:26">
      <c r="A15" t="s">
        <v>24</v>
      </c>
      <c r="B15" s="19" t="s">
        <v>175</v>
      </c>
      <c r="C15">
        <f ca="1">_xll.ciqfunctions.udf.CIQ($B15,"IQ_CDS_mid",C$2)</f>
        <v>30.5</v>
      </c>
      <c r="D15">
        <f ca="1">_xll.ciqfunctions.udf.CIQ($B15,"IQ_CDS_mid",D$2)</f>
        <v>30.5</v>
      </c>
      <c r="E15">
        <f ca="1">_xll.ciqfunctions.udf.CIQ($B15,"IQ_CDS_mid",E$2)</f>
        <v>30.5</v>
      </c>
      <c r="F15">
        <f ca="1">_xll.ciqfunctions.udf.CIQ($B15,"IQ_CDS_mid",F$2)</f>
        <v>30.5</v>
      </c>
      <c r="G15">
        <f ca="1">_xll.ciqfunctions.udf.CIQ($B15,"IQ_CDS_mid",G$2)</f>
        <v>30.489699999999999</v>
      </c>
      <c r="H15">
        <f ca="1">_xll.ciqfunctions.udf.CIQ($B15,"IQ_CDS_mid",H$2)</f>
        <v>30.35</v>
      </c>
      <c r="I15">
        <f ca="1">_xll.ciqfunctions.udf.CIQ($B15,"IQ_CDS_mid",I$2)</f>
        <v>30.001799999999999</v>
      </c>
      <c r="J15">
        <f ca="1">_xll.ciqfunctions.udf.CIQ($B15,"IQ_CDS_mid",J$2)</f>
        <v>30.3</v>
      </c>
      <c r="K15">
        <f ca="1">_xll.ciqfunctions.udf.CIQ($B15,"IQ_CDS_mid",K$2)</f>
        <v>30.291699999999999</v>
      </c>
      <c r="L15">
        <f ca="1">_xll.ciqfunctions.udf.CIQ($B15,"IQ_CDS_mid",L$2)</f>
        <v>30.291699999999999</v>
      </c>
      <c r="M15">
        <f ca="1">_xll.ciqfunctions.udf.CIQ($B15,"IQ_CDS_mid",M$2)</f>
        <v>30.291699999999999</v>
      </c>
      <c r="N15">
        <f ca="1">_xll.ciqfunctions.udf.CIQ($B15,"IQ_CDS_mid",N$2)</f>
        <v>30</v>
      </c>
      <c r="O15">
        <f ca="1">_xll.ciqfunctions.udf.CIQ($B15,"IQ_CDS_mid",O$2)</f>
        <v>29.85</v>
      </c>
      <c r="P15">
        <f ca="1">_xll.ciqfunctions.udf.CIQ($B15,"IQ_CDS_mid",P$2)</f>
        <v>29.845600000000001</v>
      </c>
      <c r="Q15">
        <f ca="1">_xll.ciqfunctions.udf.CIQ($B15,"IQ_CDS_mid",Q$2)</f>
        <v>29.152699999999999</v>
      </c>
      <c r="R15">
        <f ca="1">_xll.ciqfunctions.udf.CIQ($B15,"IQ_CDS_mid",R$2)</f>
        <v>31.335000000000001</v>
      </c>
      <c r="S15">
        <f ca="1">_xll.ciqfunctions.udf.CIQ($B15,"IQ_CDS_mid",S$2)</f>
        <v>39.651499999999999</v>
      </c>
      <c r="T15">
        <f t="shared" ca="1" si="1"/>
        <v>0.14999999999999858</v>
      </c>
      <c r="U15">
        <f t="shared" ca="1" si="2"/>
        <v>0.20830000000000126</v>
      </c>
      <c r="V15">
        <f t="shared" ca="1" si="3"/>
        <v>1.3473000000000006</v>
      </c>
      <c r="W15">
        <f t="shared" ca="1" si="4"/>
        <v>-0.83500000000000085</v>
      </c>
      <c r="X15">
        <f t="shared" ca="1" si="0"/>
        <v>-9.1514999999999986</v>
      </c>
    </row>
    <row r="16" spans="1:26">
      <c r="A16" t="s">
        <v>25</v>
      </c>
      <c r="B16" s="19" t="s">
        <v>176</v>
      </c>
      <c r="C16">
        <f ca="1">_xll.ciqfunctions.udf.CIQ($B16,"IQ_CDS_mid",C$2)</f>
        <v>9.7628000000000004</v>
      </c>
      <c r="D16">
        <f ca="1">_xll.ciqfunctions.udf.CIQ($B16,"IQ_CDS_mid",D$2)</f>
        <v>9.7628000000000004</v>
      </c>
      <c r="E16">
        <f ca="1">_xll.ciqfunctions.udf.CIQ($B16,"IQ_CDS_mid",E$2)</f>
        <v>9.7628000000000004</v>
      </c>
      <c r="F16">
        <f ca="1">_xll.ciqfunctions.udf.CIQ($B16,"IQ_CDS_mid",F$2)</f>
        <v>9.7628000000000004</v>
      </c>
      <c r="G16">
        <f ca="1">_xll.ciqfunctions.udf.CIQ($B16,"IQ_CDS_mid",G$2)</f>
        <v>10.293799999999999</v>
      </c>
      <c r="H16">
        <f ca="1">_xll.ciqfunctions.udf.CIQ($B16,"IQ_CDS_mid",H$2)</f>
        <v>10.2094</v>
      </c>
      <c r="I16">
        <f ca="1">_xll.ciqfunctions.udf.CIQ($B16,"IQ_CDS_mid",I$2)</f>
        <v>10.3324</v>
      </c>
      <c r="J16">
        <f ca="1">_xll.ciqfunctions.udf.CIQ($B16,"IQ_CDS_mid",J$2)</f>
        <v>10.507300000000001</v>
      </c>
      <c r="K16">
        <f ca="1">_xll.ciqfunctions.udf.CIQ($B16,"IQ_CDS_mid",K$2)</f>
        <v>10.3817</v>
      </c>
      <c r="L16">
        <f ca="1">_xll.ciqfunctions.udf.CIQ($B16,"IQ_CDS_mid",L$2)</f>
        <v>10.3817</v>
      </c>
      <c r="M16">
        <f ca="1">_xll.ciqfunctions.udf.CIQ($B16,"IQ_CDS_mid",M$2)</f>
        <v>10.3817</v>
      </c>
      <c r="N16">
        <f ca="1">_xll.ciqfunctions.udf.CIQ($B16,"IQ_CDS_mid",N$2)</f>
        <v>10.3414</v>
      </c>
      <c r="O16">
        <f ca="1">_xll.ciqfunctions.udf.CIQ($B16,"IQ_CDS_mid",O$2)</f>
        <v>10.623799999999999</v>
      </c>
      <c r="P16">
        <f ca="1">_xll.ciqfunctions.udf.CIQ($B16,"IQ_CDS_mid",P$2)</f>
        <v>10.6304</v>
      </c>
      <c r="Q16">
        <f ca="1">_xll.ciqfunctions.udf.CIQ($B16,"IQ_CDS_mid",Q$2)</f>
        <v>9.9968000000000004</v>
      </c>
      <c r="R16">
        <f ca="1">_xll.ciqfunctions.udf.CIQ($B16,"IQ_CDS_mid",R$2)</f>
        <v>9.9292999999999996</v>
      </c>
      <c r="S16">
        <f ca="1">_xll.ciqfunctions.udf.CIQ($B16,"IQ_CDS_mid",S$2)</f>
        <v>15.2186</v>
      </c>
      <c r="T16">
        <f t="shared" ca="1" si="1"/>
        <v>-0.44660000000000011</v>
      </c>
      <c r="U16">
        <f t="shared" ca="1" si="2"/>
        <v>-0.61890000000000001</v>
      </c>
      <c r="V16">
        <f t="shared" ca="1" si="3"/>
        <v>-0.23399999999999999</v>
      </c>
      <c r="W16">
        <f t="shared" ca="1" si="4"/>
        <v>-0.1664999999999992</v>
      </c>
      <c r="X16">
        <f t="shared" ca="1" si="0"/>
        <v>-5.4558</v>
      </c>
    </row>
    <row r="17" spans="1:24">
      <c r="A17" t="s">
        <v>26</v>
      </c>
      <c r="B17" s="19" t="s">
        <v>177</v>
      </c>
      <c r="C17">
        <f ca="1">_xll.ciqfunctions.udf.CIQ($B17,"IQ_CDS_mid",C$2)</f>
        <v>7.8333000000000004</v>
      </c>
      <c r="D17">
        <f ca="1">_xll.ciqfunctions.udf.CIQ($B17,"IQ_CDS_mid",D$2)</f>
        <v>7.8333000000000004</v>
      </c>
      <c r="E17">
        <f ca="1">_xll.ciqfunctions.udf.CIQ($B17,"IQ_CDS_mid",E$2)</f>
        <v>7.8333000000000004</v>
      </c>
      <c r="F17">
        <f ca="1">_xll.ciqfunctions.udf.CIQ($B17,"IQ_CDS_mid",F$2)</f>
        <v>7.8333000000000004</v>
      </c>
      <c r="G17">
        <f ca="1">_xll.ciqfunctions.udf.CIQ($B17,"IQ_CDS_mid",G$2)</f>
        <v>7.8333000000000004</v>
      </c>
      <c r="H17">
        <f ca="1">_xll.ciqfunctions.udf.CIQ($B17,"IQ_CDS_mid",H$2)</f>
        <v>7.8</v>
      </c>
      <c r="I17">
        <f ca="1">_xll.ciqfunctions.udf.CIQ($B17,"IQ_CDS_mid",I$2)</f>
        <v>7.8333000000000004</v>
      </c>
      <c r="J17">
        <f ca="1">_xll.ciqfunctions.udf.CIQ($B17,"IQ_CDS_mid",J$2)</f>
        <v>7.8333000000000004</v>
      </c>
      <c r="K17">
        <f ca="1">_xll.ciqfunctions.udf.CIQ($B17,"IQ_CDS_mid",K$2)</f>
        <v>7.8333000000000004</v>
      </c>
      <c r="L17">
        <f ca="1">_xll.ciqfunctions.udf.CIQ($B17,"IQ_CDS_mid",L$2)</f>
        <v>7.8333000000000004</v>
      </c>
      <c r="M17">
        <f ca="1">_xll.ciqfunctions.udf.CIQ($B17,"IQ_CDS_mid",M$2)</f>
        <v>7.8333000000000004</v>
      </c>
      <c r="N17">
        <f ca="1">_xll.ciqfunctions.udf.CIQ($B17,"IQ_CDS_mid",N$2)</f>
        <v>7.8967000000000001</v>
      </c>
      <c r="O17">
        <f ca="1">_xll.ciqfunctions.udf.CIQ($B17,"IQ_CDS_mid",O$2)</f>
        <v>7.875</v>
      </c>
      <c r="P17">
        <f ca="1">_xll.ciqfunctions.udf.CIQ($B17,"IQ_CDS_mid",P$2)</f>
        <v>7.875</v>
      </c>
      <c r="Q17">
        <f ca="1">_xll.ciqfunctions.udf.CIQ($B17,"IQ_CDS_mid",Q$2)</f>
        <v>7.8</v>
      </c>
      <c r="R17">
        <f ca="1">_xll.ciqfunctions.udf.CIQ($B17,"IQ_CDS_mid",R$2)</f>
        <v>8.92</v>
      </c>
      <c r="S17">
        <f ca="1">_xll.ciqfunctions.udf.CIQ($B17,"IQ_CDS_mid",S$2)</f>
        <v>10.476000000000001</v>
      </c>
      <c r="T17">
        <f t="shared" ca="1" si="1"/>
        <v>3.3300000000000551E-2</v>
      </c>
      <c r="U17">
        <f t="shared" ca="1" si="2"/>
        <v>0</v>
      </c>
      <c r="V17">
        <f t="shared" ca="1" si="3"/>
        <v>3.3300000000000551E-2</v>
      </c>
      <c r="W17">
        <f t="shared" ca="1" si="4"/>
        <v>-1.0866999999999996</v>
      </c>
      <c r="X17">
        <f t="shared" ca="1" si="0"/>
        <v>-2.6427000000000005</v>
      </c>
    </row>
    <row r="18" spans="1:24">
      <c r="A18" t="s">
        <v>27</v>
      </c>
      <c r="B18" s="19" t="s">
        <v>178</v>
      </c>
      <c r="C18">
        <f ca="1">_xll.ciqfunctions.udf.CIQ($B18,"IQ_CDS_mid",C$2)</f>
        <v>14.429</v>
      </c>
      <c r="D18">
        <f ca="1">_xll.ciqfunctions.udf.CIQ($B18,"IQ_CDS_mid",D$2)</f>
        <v>14.429</v>
      </c>
      <c r="E18">
        <f ca="1">_xll.ciqfunctions.udf.CIQ($B18,"IQ_CDS_mid",E$2)</f>
        <v>14.429</v>
      </c>
      <c r="F18">
        <f ca="1">_xll.ciqfunctions.udf.CIQ($B18,"IQ_CDS_mid",F$2)</f>
        <v>14.429</v>
      </c>
      <c r="G18">
        <f ca="1">_xll.ciqfunctions.udf.CIQ($B18,"IQ_CDS_mid",G$2)</f>
        <v>14.5</v>
      </c>
      <c r="H18">
        <f ca="1">_xll.ciqfunctions.udf.CIQ($B18,"IQ_CDS_mid",H$2)</f>
        <v>14.375</v>
      </c>
      <c r="I18">
        <f ca="1">_xll.ciqfunctions.udf.CIQ($B18,"IQ_CDS_mid",I$2)</f>
        <v>14.4</v>
      </c>
      <c r="J18">
        <f ca="1">_xll.ciqfunctions.udf.CIQ($B18,"IQ_CDS_mid",J$2)</f>
        <v>14.4</v>
      </c>
      <c r="K18">
        <f ca="1">_xll.ciqfunctions.udf.CIQ($B18,"IQ_CDS_mid",K$2)</f>
        <v>14.4</v>
      </c>
      <c r="L18">
        <f ca="1">_xll.ciqfunctions.udf.CIQ($B18,"IQ_CDS_mid",L$2)</f>
        <v>14.4</v>
      </c>
      <c r="M18">
        <f ca="1">_xll.ciqfunctions.udf.CIQ($B18,"IQ_CDS_mid",M$2)</f>
        <v>14.4</v>
      </c>
      <c r="N18">
        <f ca="1">_xll.ciqfunctions.udf.CIQ($B18,"IQ_CDS_mid",N$2)</f>
        <v>14.375</v>
      </c>
      <c r="O18">
        <f ca="1">_xll.ciqfunctions.udf.CIQ($B18,"IQ_CDS_mid",O$2)</f>
        <v>14.3125</v>
      </c>
      <c r="P18">
        <f ca="1">_xll.ciqfunctions.udf.CIQ($B18,"IQ_CDS_mid",P$2)</f>
        <v>14.35</v>
      </c>
      <c r="Q18">
        <f ca="1">_xll.ciqfunctions.udf.CIQ($B18,"IQ_CDS_mid",Q$2)</f>
        <v>14.25</v>
      </c>
      <c r="R18">
        <f ca="1">_xll.ciqfunctions.udf.CIQ($B18,"IQ_CDS_mid",R$2)</f>
        <v>16.414999999999999</v>
      </c>
      <c r="S18">
        <f ca="1">_xll.ciqfunctions.udf.CIQ($B18,"IQ_CDS_mid",S$2)</f>
        <v>22.875</v>
      </c>
      <c r="T18">
        <f t="shared" ca="1" si="1"/>
        <v>5.400000000000027E-2</v>
      </c>
      <c r="U18">
        <f t="shared" ca="1" si="2"/>
        <v>2.8999999999999915E-2</v>
      </c>
      <c r="V18">
        <f t="shared" ca="1" si="3"/>
        <v>0.17900000000000027</v>
      </c>
      <c r="W18">
        <f t="shared" ca="1" si="4"/>
        <v>-1.9859999999999989</v>
      </c>
      <c r="X18">
        <f t="shared" ca="1" si="0"/>
        <v>-8.4459999999999997</v>
      </c>
    </row>
    <row r="19" spans="1:24">
      <c r="A19" t="s">
        <v>28</v>
      </c>
      <c r="B19" s="19" t="s">
        <v>179</v>
      </c>
      <c r="C19">
        <f ca="1">_xll.ciqfunctions.udf.CIQ($B19,"IQ_CDS_mid",C$2)</f>
        <v>35.378</v>
      </c>
      <c r="D19">
        <f ca="1">_xll.ciqfunctions.udf.CIQ($B19,"IQ_CDS_mid",D$2)</f>
        <v>35.378</v>
      </c>
      <c r="E19">
        <f ca="1">_xll.ciqfunctions.udf.CIQ($B19,"IQ_CDS_mid",E$2)</f>
        <v>35.378</v>
      </c>
      <c r="F19">
        <f ca="1">_xll.ciqfunctions.udf.CIQ($B19,"IQ_CDS_mid",F$2)</f>
        <v>35.378</v>
      </c>
      <c r="G19">
        <f ca="1">_xll.ciqfunctions.udf.CIQ($B19,"IQ_CDS_mid",G$2)</f>
        <v>34.856400000000001</v>
      </c>
      <c r="H19">
        <f ca="1">_xll.ciqfunctions.udf.CIQ($B19,"IQ_CDS_mid",H$2)</f>
        <v>35.1158</v>
      </c>
      <c r="I19">
        <f ca="1">_xll.ciqfunctions.udf.CIQ($B19,"IQ_CDS_mid",I$2)</f>
        <v>35.248199999999997</v>
      </c>
      <c r="J19">
        <f ca="1">_xll.ciqfunctions.udf.CIQ($B19,"IQ_CDS_mid",J$2)</f>
        <v>35.906300000000002</v>
      </c>
      <c r="K19">
        <f ca="1">_xll.ciqfunctions.udf.CIQ($B19,"IQ_CDS_mid",K$2)</f>
        <v>35.417200000000001</v>
      </c>
      <c r="L19">
        <f ca="1">_xll.ciqfunctions.udf.CIQ($B19,"IQ_CDS_mid",L$2)</f>
        <v>35.417200000000001</v>
      </c>
      <c r="M19">
        <f ca="1">_xll.ciqfunctions.udf.CIQ($B19,"IQ_CDS_mid",M$2)</f>
        <v>35.417200000000001</v>
      </c>
      <c r="N19">
        <f ca="1">_xll.ciqfunctions.udf.CIQ($B19,"IQ_CDS_mid",N$2)</f>
        <v>36.054499999999997</v>
      </c>
      <c r="O19">
        <f ca="1">_xll.ciqfunctions.udf.CIQ($B19,"IQ_CDS_mid",O$2)</f>
        <v>35.6477</v>
      </c>
      <c r="P19">
        <f ca="1">_xll.ciqfunctions.udf.CIQ($B19,"IQ_CDS_mid",P$2)</f>
        <v>35.881599999999999</v>
      </c>
      <c r="Q19">
        <f ca="1">_xll.ciqfunctions.udf.CIQ($B19,"IQ_CDS_mid",Q$2)</f>
        <v>36.149299999999997</v>
      </c>
      <c r="R19">
        <f ca="1">_xll.ciqfunctions.udf.CIQ($B19,"IQ_CDS_mid",R$2)</f>
        <v>38.5563</v>
      </c>
      <c r="S19">
        <f ca="1">_xll.ciqfunctions.udf.CIQ($B19,"IQ_CDS_mid",S$2)</f>
        <v>33.431100000000001</v>
      </c>
      <c r="T19">
        <f t="shared" ca="1" si="1"/>
        <v>0.26219999999999999</v>
      </c>
      <c r="U19">
        <f t="shared" ca="1" si="2"/>
        <v>-3.9200000000001012E-2</v>
      </c>
      <c r="V19">
        <f t="shared" ca="1" si="3"/>
        <v>-0.77129999999999654</v>
      </c>
      <c r="W19">
        <f t="shared" ca="1" si="4"/>
        <v>-3.1783000000000001</v>
      </c>
      <c r="X19">
        <f t="shared" ca="1" si="0"/>
        <v>1.9468999999999994</v>
      </c>
    </row>
    <row r="20" spans="1:24">
      <c r="A20" t="s">
        <v>29</v>
      </c>
      <c r="B20" s="19" t="s">
        <v>180</v>
      </c>
      <c r="C20">
        <f ca="1">_xll.ciqfunctions.udf.CIQ($B20,"IQ_CDS_mid",C$2)</f>
        <v>16.4726</v>
      </c>
      <c r="D20">
        <f ca="1">_xll.ciqfunctions.udf.CIQ($B20,"IQ_CDS_mid",D$2)</f>
        <v>16.4726</v>
      </c>
      <c r="E20">
        <f ca="1">_xll.ciqfunctions.udf.CIQ($B20,"IQ_CDS_mid",E$2)</f>
        <v>16.4726</v>
      </c>
      <c r="F20">
        <f ca="1">_xll.ciqfunctions.udf.CIQ($B20,"IQ_CDS_mid",F$2)</f>
        <v>16.4726</v>
      </c>
      <c r="G20">
        <f ca="1">_xll.ciqfunctions.udf.CIQ($B20,"IQ_CDS_mid",G$2)</f>
        <v>16.333300000000001</v>
      </c>
      <c r="H20">
        <f ca="1">_xll.ciqfunctions.udf.CIQ($B20,"IQ_CDS_mid",H$2)</f>
        <v>16.0199</v>
      </c>
      <c r="I20">
        <f ca="1">_xll.ciqfunctions.udf.CIQ($B20,"IQ_CDS_mid",I$2)</f>
        <v>16.0625</v>
      </c>
      <c r="J20">
        <f ca="1">_xll.ciqfunctions.udf.CIQ($B20,"IQ_CDS_mid",J$2)</f>
        <v>16.5</v>
      </c>
      <c r="K20">
        <f ca="1">_xll.ciqfunctions.udf.CIQ($B20,"IQ_CDS_mid",K$2)</f>
        <v>16.5</v>
      </c>
      <c r="L20">
        <f ca="1">_xll.ciqfunctions.udf.CIQ($B20,"IQ_CDS_mid",L$2)</f>
        <v>16.5</v>
      </c>
      <c r="M20">
        <f ca="1">_xll.ciqfunctions.udf.CIQ($B20,"IQ_CDS_mid",M$2)</f>
        <v>16.5</v>
      </c>
      <c r="N20">
        <f ca="1">_xll.ciqfunctions.udf.CIQ($B20,"IQ_CDS_mid",N$2)</f>
        <v>16.5</v>
      </c>
      <c r="O20">
        <f ca="1">_xll.ciqfunctions.udf.CIQ($B20,"IQ_CDS_mid",O$2)</f>
        <v>16.5837</v>
      </c>
      <c r="P20">
        <f ca="1">_xll.ciqfunctions.udf.CIQ($B20,"IQ_CDS_mid",P$2)</f>
        <v>16.5</v>
      </c>
      <c r="Q20">
        <f ca="1">_xll.ciqfunctions.udf.CIQ($B20,"IQ_CDS_mid",Q$2)</f>
        <v>16.020600000000002</v>
      </c>
      <c r="R20">
        <f ca="1">_xll.ciqfunctions.udf.CIQ($B20,"IQ_CDS_mid",R$2)</f>
        <v>16.422499999999999</v>
      </c>
      <c r="S20">
        <f ca="1">_xll.ciqfunctions.udf.CIQ($B20,"IQ_CDS_mid",S$2)</f>
        <v>27.058599999999998</v>
      </c>
      <c r="T20">
        <f t="shared" ca="1" si="1"/>
        <v>0.4527000000000001</v>
      </c>
      <c r="U20">
        <f t="shared" ca="1" si="2"/>
        <v>-2.7400000000000091E-2</v>
      </c>
      <c r="V20">
        <f t="shared" ca="1" si="3"/>
        <v>0.45199999999999818</v>
      </c>
      <c r="W20">
        <f t="shared" ca="1" si="4"/>
        <v>5.0100000000000477E-2</v>
      </c>
      <c r="X20">
        <f t="shared" ca="1" si="0"/>
        <v>-10.585999999999999</v>
      </c>
    </row>
    <row r="21" spans="1:24">
      <c r="A21" s="14" t="s">
        <v>181</v>
      </c>
      <c r="X21">
        <f t="shared" si="0"/>
        <v>0</v>
      </c>
    </row>
    <row r="22" spans="1:24">
      <c r="A22" t="s">
        <v>31</v>
      </c>
      <c r="B22" s="19" t="s">
        <v>182</v>
      </c>
      <c r="C22">
        <f ca="1">_xll.ciqfunctions.udf.CIQ($B22,"IQ_CDS_mid",C$2)</f>
        <v>18</v>
      </c>
      <c r="D22">
        <f ca="1">_xll.ciqfunctions.udf.CIQ($B22,"IQ_CDS_mid",D$2)</f>
        <v>18</v>
      </c>
      <c r="E22">
        <f ca="1">_xll.ciqfunctions.udf.CIQ($B22,"IQ_CDS_mid",E$2)</f>
        <v>18</v>
      </c>
      <c r="F22">
        <f ca="1">_xll.ciqfunctions.udf.CIQ($B22,"IQ_CDS_mid",F$2)</f>
        <v>18</v>
      </c>
      <c r="G22">
        <f ca="1">_xll.ciqfunctions.udf.CIQ($B22,"IQ_CDS_mid",G$2)</f>
        <v>18.125</v>
      </c>
      <c r="H22">
        <f ca="1">_xll.ciqfunctions.udf.CIQ($B22,"IQ_CDS_mid",H$2)</f>
        <v>18.125</v>
      </c>
      <c r="I22">
        <f ca="1">_xll.ciqfunctions.udf.CIQ($B22,"IQ_CDS_mid",I$2)</f>
        <v>18.065999999999999</v>
      </c>
      <c r="J22">
        <f ca="1">_xll.ciqfunctions.udf.CIQ($B22,"IQ_CDS_mid",J$2)</f>
        <v>18.125</v>
      </c>
      <c r="K22">
        <f ca="1">_xll.ciqfunctions.udf.CIQ($B22,"IQ_CDS_mid",K$2)</f>
        <v>18.375</v>
      </c>
      <c r="L22">
        <f ca="1">_xll.ciqfunctions.udf.CIQ($B22,"IQ_CDS_mid",L$2)</f>
        <v>18.375</v>
      </c>
      <c r="M22">
        <f ca="1">_xll.ciqfunctions.udf.CIQ($B22,"IQ_CDS_mid",M$2)</f>
        <v>18.375</v>
      </c>
      <c r="N22">
        <f ca="1">_xll.ciqfunctions.udf.CIQ($B22,"IQ_CDS_mid",N$2)</f>
        <v>18.399999999999999</v>
      </c>
      <c r="O22">
        <f ca="1">_xll.ciqfunctions.udf.CIQ($B22,"IQ_CDS_mid",O$2)</f>
        <v>18.549700000000001</v>
      </c>
      <c r="P22">
        <f ca="1">_xll.ciqfunctions.udf.CIQ($B22,"IQ_CDS_mid",P$2)</f>
        <v>18.600000000000001</v>
      </c>
      <c r="Q22">
        <f ca="1">_xll.ciqfunctions.udf.CIQ($B22,"IQ_CDS_mid",Q$2)</f>
        <v>17.833300000000001</v>
      </c>
      <c r="R22">
        <f ca="1">_xll.ciqfunctions.udf.CIQ($B22,"IQ_CDS_mid",R$2)</f>
        <v>18.833300000000001</v>
      </c>
      <c r="S22">
        <f ca="1">_xll.ciqfunctions.udf.CIQ($B22,"IQ_CDS_mid",S$2)</f>
        <v>16.5</v>
      </c>
      <c r="T22">
        <f t="shared" ref="T22:T29" ca="1" si="5">C22-H22</f>
        <v>-0.125</v>
      </c>
      <c r="U22">
        <f t="shared" ref="U22:U29" ca="1" si="6">C22-M22</f>
        <v>-0.375</v>
      </c>
      <c r="V22">
        <f t="shared" ref="V22:V29" ca="1" si="7">C22-Q22</f>
        <v>0.16669999999999874</v>
      </c>
      <c r="W22">
        <f t="shared" ref="W22:W29" ca="1" si="8">C22-R22</f>
        <v>-0.83330000000000126</v>
      </c>
      <c r="X22">
        <f t="shared" ca="1" si="0"/>
        <v>1.5</v>
      </c>
    </row>
    <row r="23" spans="1:24">
      <c r="A23" t="s">
        <v>32</v>
      </c>
      <c r="B23" s="19" t="s">
        <v>183</v>
      </c>
      <c r="C23">
        <f ca="1">_xll.ciqfunctions.udf.CIQ($B23,"IQ_CDS_mid",C$2)</f>
        <v>29.2563</v>
      </c>
      <c r="D23">
        <f ca="1">_xll.ciqfunctions.udf.CIQ($B23,"IQ_CDS_mid",D$2)</f>
        <v>29.2563</v>
      </c>
      <c r="E23">
        <f ca="1">_xll.ciqfunctions.udf.CIQ($B23,"IQ_CDS_mid",E$2)</f>
        <v>29.2563</v>
      </c>
      <c r="F23">
        <f ca="1">_xll.ciqfunctions.udf.CIQ($B23,"IQ_CDS_mid",F$2)</f>
        <v>29.2563</v>
      </c>
      <c r="G23">
        <f ca="1">_xll.ciqfunctions.udf.CIQ($B23,"IQ_CDS_mid",G$2)</f>
        <v>29.257400000000001</v>
      </c>
      <c r="H23">
        <f ca="1">_xll.ciqfunctions.udf.CIQ($B23,"IQ_CDS_mid",H$2)</f>
        <v>29.2729</v>
      </c>
      <c r="I23">
        <f ca="1">_xll.ciqfunctions.udf.CIQ($B23,"IQ_CDS_mid",I$2)</f>
        <v>29.349299999999999</v>
      </c>
      <c r="J23">
        <f ca="1">_xll.ciqfunctions.udf.CIQ($B23,"IQ_CDS_mid",J$2)</f>
        <v>29.366499999999998</v>
      </c>
      <c r="K23">
        <f ca="1">_xll.ciqfunctions.udf.CIQ($B23,"IQ_CDS_mid",K$2)</f>
        <v>29.510300000000001</v>
      </c>
      <c r="L23">
        <f ca="1">_xll.ciqfunctions.udf.CIQ($B23,"IQ_CDS_mid",L$2)</f>
        <v>29.510300000000001</v>
      </c>
      <c r="M23">
        <f ca="1">_xll.ciqfunctions.udf.CIQ($B23,"IQ_CDS_mid",M$2)</f>
        <v>29.510300000000001</v>
      </c>
      <c r="N23">
        <f ca="1">_xll.ciqfunctions.udf.CIQ($B23,"IQ_CDS_mid",N$2)</f>
        <v>29.828800000000001</v>
      </c>
      <c r="O23">
        <f ca="1">_xll.ciqfunctions.udf.CIQ($B23,"IQ_CDS_mid",O$2)</f>
        <v>29.7485</v>
      </c>
      <c r="P23">
        <f ca="1">_xll.ciqfunctions.udf.CIQ($B23,"IQ_CDS_mid",P$2)</f>
        <v>29.4392</v>
      </c>
      <c r="Q23">
        <f ca="1">_xll.ciqfunctions.udf.CIQ($B23,"IQ_CDS_mid",Q$2)</f>
        <v>28.9693</v>
      </c>
      <c r="R23">
        <f ca="1">_xll.ciqfunctions.udf.CIQ($B23,"IQ_CDS_mid",R$2)</f>
        <v>29.4665</v>
      </c>
      <c r="S23">
        <f ca="1">_xll.ciqfunctions.udf.CIQ($B23,"IQ_CDS_mid",S$2)</f>
        <v>25.7453</v>
      </c>
      <c r="T23">
        <f t="shared" ca="1" si="5"/>
        <v>-1.6600000000000392E-2</v>
      </c>
      <c r="U23">
        <f t="shared" ca="1" si="6"/>
        <v>-0.25400000000000134</v>
      </c>
      <c r="V23">
        <f t="shared" ca="1" si="7"/>
        <v>0.28699999999999903</v>
      </c>
      <c r="W23">
        <f t="shared" ca="1" si="8"/>
        <v>-0.21020000000000039</v>
      </c>
      <c r="X23">
        <f t="shared" ca="1" si="0"/>
        <v>3.5109999999999992</v>
      </c>
    </row>
    <row r="24" spans="1:24">
      <c r="A24" t="s">
        <v>33</v>
      </c>
      <c r="B24" s="19" t="s">
        <v>184</v>
      </c>
      <c r="C24">
        <f ca="1">_xll.ciqfunctions.udf.CIQ($B24,"IQ_CDS_mid",C$2)</f>
        <v>7.9626999999999999</v>
      </c>
      <c r="D24">
        <f ca="1">_xll.ciqfunctions.udf.CIQ($B24,"IQ_CDS_mid",D$2)</f>
        <v>7.9626999999999999</v>
      </c>
      <c r="E24">
        <f ca="1">_xll.ciqfunctions.udf.CIQ($B24,"IQ_CDS_mid",E$2)</f>
        <v>7.9626999999999999</v>
      </c>
      <c r="F24">
        <f ca="1">_xll.ciqfunctions.udf.CIQ($B24,"IQ_CDS_mid",F$2)</f>
        <v>7.9626999999999999</v>
      </c>
      <c r="G24">
        <f ca="1">_xll.ciqfunctions.udf.CIQ($B24,"IQ_CDS_mid",G$2)</f>
        <v>8.125</v>
      </c>
      <c r="H24">
        <f ca="1">_xll.ciqfunctions.udf.CIQ($B24,"IQ_CDS_mid",H$2)</f>
        <v>8.125</v>
      </c>
      <c r="I24">
        <f ca="1">_xll.ciqfunctions.udf.CIQ($B24,"IQ_CDS_mid",I$2)</f>
        <v>8.125</v>
      </c>
      <c r="J24">
        <f ca="1">_xll.ciqfunctions.udf.CIQ($B24,"IQ_CDS_mid",J$2)</f>
        <v>8.125</v>
      </c>
      <c r="K24">
        <f ca="1">_xll.ciqfunctions.udf.CIQ($B24,"IQ_CDS_mid",K$2)</f>
        <v>8.125</v>
      </c>
      <c r="L24">
        <f ca="1">_xll.ciqfunctions.udf.CIQ($B24,"IQ_CDS_mid",L$2)</f>
        <v>8.125</v>
      </c>
      <c r="M24">
        <f ca="1">_xll.ciqfunctions.udf.CIQ($B24,"IQ_CDS_mid",M$2)</f>
        <v>8.125</v>
      </c>
      <c r="N24">
        <f ca="1">_xll.ciqfunctions.udf.CIQ($B24,"IQ_CDS_mid",N$2)</f>
        <v>7.8333000000000004</v>
      </c>
      <c r="O24">
        <f ca="1">_xll.ciqfunctions.udf.CIQ($B24,"IQ_CDS_mid",O$2)</f>
        <v>8.0832999999999995</v>
      </c>
      <c r="P24">
        <f ca="1">_xll.ciqfunctions.udf.CIQ($B24,"IQ_CDS_mid",P$2)</f>
        <v>8</v>
      </c>
      <c r="Q24">
        <f ca="1">_xll.ciqfunctions.udf.CIQ($B24,"IQ_CDS_mid",Q$2)</f>
        <v>7.9127000000000001</v>
      </c>
      <c r="R24">
        <f ca="1">_xll.ciqfunctions.udf.CIQ($B24,"IQ_CDS_mid",R$2)</f>
        <v>9</v>
      </c>
      <c r="S24">
        <f ca="1">_xll.ciqfunctions.udf.CIQ($B24,"IQ_CDS_mid",S$2)</f>
        <v>8.7795000000000005</v>
      </c>
      <c r="T24">
        <f t="shared" ca="1" si="5"/>
        <v>-0.16230000000000011</v>
      </c>
      <c r="U24">
        <f t="shared" ca="1" si="6"/>
        <v>-0.16230000000000011</v>
      </c>
      <c r="V24">
        <f t="shared" ca="1" si="7"/>
        <v>4.9999999999999822E-2</v>
      </c>
      <c r="W24">
        <f t="shared" ca="1" si="8"/>
        <v>-1.0373000000000001</v>
      </c>
      <c r="X24">
        <f t="shared" ca="1" si="0"/>
        <v>-0.81680000000000064</v>
      </c>
    </row>
    <row r="25" spans="1:24">
      <c r="A25" t="s">
        <v>34</v>
      </c>
      <c r="B25" s="19" t="s">
        <v>185</v>
      </c>
      <c r="C25">
        <f ca="1">_xll.ciqfunctions.udf.CIQ($B25,"IQ_CDS_mid",C$2)</f>
        <v>4.6885000000000003</v>
      </c>
      <c r="D25">
        <f ca="1">_xll.ciqfunctions.udf.CIQ($B25,"IQ_CDS_mid",D$2)</f>
        <v>4.6885000000000003</v>
      </c>
      <c r="E25">
        <f ca="1">_xll.ciqfunctions.udf.CIQ($B25,"IQ_CDS_mid",E$2)</f>
        <v>4.6885000000000003</v>
      </c>
      <c r="F25">
        <f ca="1">_xll.ciqfunctions.udf.CIQ($B25,"IQ_CDS_mid",F$2)</f>
        <v>4.6885000000000003</v>
      </c>
      <c r="G25">
        <f ca="1">_xll.ciqfunctions.udf.CIQ($B25,"IQ_CDS_mid",G$2)</f>
        <v>4.6837</v>
      </c>
      <c r="H25">
        <f ca="1">_xll.ciqfunctions.udf.CIQ($B25,"IQ_CDS_mid",H$2)</f>
        <v>4.6852</v>
      </c>
      <c r="I25">
        <f ca="1">_xll.ciqfunctions.udf.CIQ($B25,"IQ_CDS_mid",I$2)</f>
        <v>4.6845999999999997</v>
      </c>
      <c r="J25">
        <f ca="1">_xll.ciqfunctions.udf.CIQ($B25,"IQ_CDS_mid",J$2)</f>
        <v>4.6959999999999997</v>
      </c>
      <c r="K25">
        <f ca="1">_xll.ciqfunctions.udf.CIQ($B25,"IQ_CDS_mid",K$2)</f>
        <v>4.7626999999999997</v>
      </c>
      <c r="L25">
        <f ca="1">_xll.ciqfunctions.udf.CIQ($B25,"IQ_CDS_mid",L$2)</f>
        <v>4.7626999999999997</v>
      </c>
      <c r="M25">
        <f ca="1">_xll.ciqfunctions.udf.CIQ($B25,"IQ_CDS_mid",M$2)</f>
        <v>4.7626999999999997</v>
      </c>
      <c r="N25">
        <f ca="1">_xll.ciqfunctions.udf.CIQ($B25,"IQ_CDS_mid",N$2)</f>
        <v>4.7927</v>
      </c>
      <c r="O25">
        <f ca="1">_xll.ciqfunctions.udf.CIQ($B25,"IQ_CDS_mid",O$2)</f>
        <v>4.5082000000000004</v>
      </c>
      <c r="P25">
        <f ca="1">_xll.ciqfunctions.udf.CIQ($B25,"IQ_CDS_mid",P$2)</f>
        <v>4.5067000000000004</v>
      </c>
      <c r="Q25">
        <f ca="1">_xll.ciqfunctions.udf.CIQ($B25,"IQ_CDS_mid",Q$2)</f>
        <v>4.4958</v>
      </c>
      <c r="R25">
        <f ca="1">_xll.ciqfunctions.udf.CIQ($B25,"IQ_CDS_mid",R$2)</f>
        <v>5.7203999999999997</v>
      </c>
      <c r="S25">
        <f ca="1">_xll.ciqfunctions.udf.CIQ($B25,"IQ_CDS_mid",S$2)</f>
        <v>7.8426999999999998</v>
      </c>
      <c r="T25">
        <f t="shared" ca="1" si="5"/>
        <v>3.3000000000003027E-3</v>
      </c>
      <c r="U25">
        <f t="shared" ca="1" si="6"/>
        <v>-7.4199999999999378E-2</v>
      </c>
      <c r="V25">
        <f t="shared" ca="1" si="7"/>
        <v>0.19270000000000032</v>
      </c>
      <c r="W25">
        <f t="shared" ca="1" si="8"/>
        <v>-1.0318999999999994</v>
      </c>
      <c r="X25">
        <f t="shared" ca="1" si="0"/>
        <v>-3.1541999999999994</v>
      </c>
    </row>
    <row r="26" spans="1:24">
      <c r="A26" t="s">
        <v>35</v>
      </c>
      <c r="B26" s="19" t="s">
        <v>186</v>
      </c>
      <c r="C26">
        <f ca="1">_xll.ciqfunctions.udf.CIQ($B26,"IQ_CDS_mid",C$2)</f>
        <v>50.9221</v>
      </c>
      <c r="D26">
        <f ca="1">_xll.ciqfunctions.udf.CIQ($B26,"IQ_CDS_mid",D$2)</f>
        <v>50.9221</v>
      </c>
      <c r="E26">
        <f ca="1">_xll.ciqfunctions.udf.CIQ($B26,"IQ_CDS_mid",E$2)</f>
        <v>50.9221</v>
      </c>
      <c r="F26">
        <f ca="1">_xll.ciqfunctions.udf.CIQ($B26,"IQ_CDS_mid",F$2)</f>
        <v>50.9221</v>
      </c>
      <c r="G26">
        <f ca="1">_xll.ciqfunctions.udf.CIQ($B26,"IQ_CDS_mid",G$2)</f>
        <v>50.940199999999997</v>
      </c>
      <c r="H26">
        <f ca="1">_xll.ciqfunctions.udf.CIQ($B26,"IQ_CDS_mid",H$2)</f>
        <v>50.927500000000002</v>
      </c>
      <c r="I26">
        <f ca="1">_xll.ciqfunctions.udf.CIQ($B26,"IQ_CDS_mid",I$2)</f>
        <v>50.9407</v>
      </c>
      <c r="J26">
        <f ca="1">_xll.ciqfunctions.udf.CIQ($B26,"IQ_CDS_mid",J$2)</f>
        <v>51.058399999999999</v>
      </c>
      <c r="K26">
        <f ca="1">_xll.ciqfunctions.udf.CIQ($B26,"IQ_CDS_mid",K$2)</f>
        <v>50.913400000000003</v>
      </c>
      <c r="L26">
        <f ca="1">_xll.ciqfunctions.udf.CIQ($B26,"IQ_CDS_mid",L$2)</f>
        <v>50.913400000000003</v>
      </c>
      <c r="M26">
        <f ca="1">_xll.ciqfunctions.udf.CIQ($B26,"IQ_CDS_mid",M$2)</f>
        <v>50.913400000000003</v>
      </c>
      <c r="N26">
        <f ca="1">_xll.ciqfunctions.udf.CIQ($B26,"IQ_CDS_mid",N$2)</f>
        <v>50.662199999999999</v>
      </c>
      <c r="O26">
        <f ca="1">_xll.ciqfunctions.udf.CIQ($B26,"IQ_CDS_mid",O$2)</f>
        <v>50.5535</v>
      </c>
      <c r="P26">
        <f ca="1">_xll.ciqfunctions.udf.CIQ($B26,"IQ_CDS_mid",P$2)</f>
        <v>50.5366</v>
      </c>
      <c r="Q26">
        <f ca="1">_xll.ciqfunctions.udf.CIQ($B26,"IQ_CDS_mid",Q$2)</f>
        <v>50.558</v>
      </c>
      <c r="R26">
        <f ca="1">_xll.ciqfunctions.udf.CIQ($B26,"IQ_CDS_mid",R$2)</f>
        <v>52.052700000000002</v>
      </c>
      <c r="S26">
        <f ca="1">_xll.ciqfunctions.udf.CIQ($B26,"IQ_CDS_mid",S$2)</f>
        <v>65.609899999999996</v>
      </c>
      <c r="T26">
        <f t="shared" ca="1" si="5"/>
        <v>-5.4000000000016257E-3</v>
      </c>
      <c r="U26">
        <f t="shared" ca="1" si="6"/>
        <v>8.6999999999974875E-3</v>
      </c>
      <c r="V26">
        <f t="shared" ca="1" si="7"/>
        <v>0.36410000000000053</v>
      </c>
      <c r="W26">
        <f t="shared" ca="1" si="8"/>
        <v>-1.1306000000000012</v>
      </c>
      <c r="X26">
        <f t="shared" ca="1" si="0"/>
        <v>-14.687799999999996</v>
      </c>
    </row>
    <row r="27" spans="1:24">
      <c r="A27" t="s">
        <v>36</v>
      </c>
      <c r="B27" s="19" t="s">
        <v>187</v>
      </c>
      <c r="C27">
        <f ca="1">_xll.ciqfunctions.udf.CIQ($B27,"IQ_CDS_mid",C$2)</f>
        <v>6.6862000000000004</v>
      </c>
      <c r="D27">
        <f ca="1">_xll.ciqfunctions.udf.CIQ($B27,"IQ_CDS_mid",D$2)</f>
        <v>6.6862000000000004</v>
      </c>
      <c r="E27">
        <f ca="1">_xll.ciqfunctions.udf.CIQ($B27,"IQ_CDS_mid",E$2)</f>
        <v>6.6862000000000004</v>
      </c>
      <c r="F27">
        <f ca="1">_xll.ciqfunctions.udf.CIQ($B27,"IQ_CDS_mid",F$2)</f>
        <v>6.6862000000000004</v>
      </c>
      <c r="G27">
        <f ca="1">_xll.ciqfunctions.udf.CIQ($B27,"IQ_CDS_mid",G$2)</f>
        <v>7.25</v>
      </c>
      <c r="H27">
        <f ca="1">_xll.ciqfunctions.udf.CIQ($B27,"IQ_CDS_mid",H$2)</f>
        <v>6.7030000000000003</v>
      </c>
      <c r="I27">
        <f ca="1">_xll.ciqfunctions.udf.CIQ($B27,"IQ_CDS_mid",I$2)</f>
        <v>7.25</v>
      </c>
      <c r="J27">
        <f ca="1">_xll.ciqfunctions.udf.CIQ($B27,"IQ_CDS_mid",J$2)</f>
        <v>6.7028999999999996</v>
      </c>
      <c r="K27">
        <f ca="1">_xll.ciqfunctions.udf.CIQ($B27,"IQ_CDS_mid",K$2)</f>
        <v>7.25</v>
      </c>
      <c r="L27">
        <f ca="1">_xll.ciqfunctions.udf.CIQ($B27,"IQ_CDS_mid",L$2)</f>
        <v>7.25</v>
      </c>
      <c r="M27">
        <f ca="1">_xll.ciqfunctions.udf.CIQ($B27,"IQ_CDS_mid",M$2)</f>
        <v>7.25</v>
      </c>
      <c r="N27">
        <f ca="1">_xll.ciqfunctions.udf.CIQ($B27,"IQ_CDS_mid",N$2)</f>
        <v>6.4809000000000001</v>
      </c>
      <c r="O27">
        <f ca="1">_xll.ciqfunctions.udf.CIQ($B27,"IQ_CDS_mid",O$2)</f>
        <v>6.8322000000000003</v>
      </c>
      <c r="P27">
        <f ca="1">_xll.ciqfunctions.udf.CIQ($B27,"IQ_CDS_mid",P$2)</f>
        <v>7.25</v>
      </c>
      <c r="Q27">
        <f ca="1">_xll.ciqfunctions.udf.CIQ($B27,"IQ_CDS_mid",Q$2)</f>
        <v>6.8292999999999999</v>
      </c>
      <c r="R27">
        <f ca="1">_xll.ciqfunctions.udf.CIQ($B27,"IQ_CDS_mid",R$2)</f>
        <v>8.0832999999999995</v>
      </c>
      <c r="S27">
        <f ca="1">_xll.ciqfunctions.udf.CIQ($B27,"IQ_CDS_mid",S$2)</f>
        <v>9.8615999999999993</v>
      </c>
      <c r="T27">
        <f t="shared" ca="1" si="5"/>
        <v>-1.6799999999999926E-2</v>
      </c>
      <c r="U27">
        <f t="shared" ca="1" si="6"/>
        <v>-0.56379999999999963</v>
      </c>
      <c r="V27">
        <f t="shared" ca="1" si="7"/>
        <v>-0.14309999999999956</v>
      </c>
      <c r="W27">
        <f t="shared" ca="1" si="8"/>
        <v>-1.3970999999999991</v>
      </c>
      <c r="X27">
        <f t="shared" ca="1" si="0"/>
        <v>-3.1753999999999989</v>
      </c>
    </row>
    <row r="28" spans="1:24">
      <c r="A28" t="s">
        <v>37</v>
      </c>
      <c r="B28" s="19" t="s">
        <v>188</v>
      </c>
      <c r="C28">
        <f ca="1">_xll.ciqfunctions.udf.CIQ($B28,"IQ_CDS_mid",C$2)</f>
        <v>7.2470999999999997</v>
      </c>
      <c r="D28">
        <f ca="1">_xll.ciqfunctions.udf.CIQ($B28,"IQ_CDS_mid",D$2)</f>
        <v>7.2470999999999997</v>
      </c>
      <c r="E28">
        <f ca="1">_xll.ciqfunctions.udf.CIQ($B28,"IQ_CDS_mid",E$2)</f>
        <v>7.2470999999999997</v>
      </c>
      <c r="F28">
        <f ca="1">_xll.ciqfunctions.udf.CIQ($B28,"IQ_CDS_mid",F$2)</f>
        <v>7.2470999999999997</v>
      </c>
      <c r="G28">
        <f ca="1">_xll.ciqfunctions.udf.CIQ($B28,"IQ_CDS_mid",G$2)</f>
        <v>7.2428999999999997</v>
      </c>
      <c r="H28">
        <f ca="1">_xll.ciqfunctions.udf.CIQ($B28,"IQ_CDS_mid",H$2)</f>
        <v>7.2430000000000003</v>
      </c>
      <c r="I28">
        <f ca="1">_xll.ciqfunctions.udf.CIQ($B28,"IQ_CDS_mid",I$2)</f>
        <v>7.2427999999999999</v>
      </c>
      <c r="J28">
        <f ca="1">_xll.ciqfunctions.udf.CIQ($B28,"IQ_CDS_mid",J$2)</f>
        <v>7.2449000000000003</v>
      </c>
      <c r="K28">
        <f ca="1">_xll.ciqfunctions.udf.CIQ($B28,"IQ_CDS_mid",K$2)</f>
        <v>7.2477</v>
      </c>
      <c r="L28">
        <f ca="1">_xll.ciqfunctions.udf.CIQ($B28,"IQ_CDS_mid",L$2)</f>
        <v>7.2477</v>
      </c>
      <c r="M28">
        <f ca="1">_xll.ciqfunctions.udf.CIQ($B28,"IQ_CDS_mid",M$2)</f>
        <v>7.2477</v>
      </c>
      <c r="N28">
        <f ca="1">_xll.ciqfunctions.udf.CIQ($B28,"IQ_CDS_mid",N$2)</f>
        <v>7.2488000000000001</v>
      </c>
      <c r="O28">
        <f ca="1">_xll.ciqfunctions.udf.CIQ($B28,"IQ_CDS_mid",O$2)</f>
        <v>7.2503000000000002</v>
      </c>
      <c r="P28">
        <f ca="1">_xll.ciqfunctions.udf.CIQ($B28,"IQ_CDS_mid",P$2)</f>
        <v>7.2491000000000003</v>
      </c>
      <c r="Q28">
        <f ca="1">_xll.ciqfunctions.udf.CIQ($B28,"IQ_CDS_mid",Q$2)</f>
        <v>7.2408000000000001</v>
      </c>
      <c r="R28">
        <f ca="1">_xll.ciqfunctions.udf.CIQ($B28,"IQ_CDS_mid",R$2)</f>
        <v>7.8810000000000002</v>
      </c>
      <c r="S28">
        <f ca="1">_xll.ciqfunctions.udf.CIQ($B28,"IQ_CDS_mid",S$2)</f>
        <v>8</v>
      </c>
      <c r="T28">
        <f t="shared" ca="1" si="5"/>
        <v>4.0999999999993264E-3</v>
      </c>
      <c r="U28">
        <f t="shared" ca="1" si="6"/>
        <v>-6.0000000000037801E-4</v>
      </c>
      <c r="V28">
        <f t="shared" ca="1" si="7"/>
        <v>6.2999999999995282E-3</v>
      </c>
      <c r="W28">
        <f t="shared" ca="1" si="8"/>
        <v>-0.63390000000000057</v>
      </c>
      <c r="X28">
        <f t="shared" ca="1" si="0"/>
        <v>-0.75290000000000035</v>
      </c>
    </row>
    <row r="29" spans="1:24">
      <c r="A29" t="s">
        <v>38</v>
      </c>
      <c r="B29" s="19" t="s">
        <v>189</v>
      </c>
      <c r="C29">
        <f ca="1">_xll.ciqfunctions.udf.CIQ($B29,"IQ_CDS_mid",C$2)</f>
        <v>777.16240000000005</v>
      </c>
      <c r="D29">
        <f ca="1">_xll.ciqfunctions.udf.CIQ($B29,"IQ_CDS_mid",D$2)</f>
        <v>777.16240000000005</v>
      </c>
      <c r="E29">
        <f ca="1">_xll.ciqfunctions.udf.CIQ($B29,"IQ_CDS_mid",E$2)</f>
        <v>777.16240000000005</v>
      </c>
      <c r="F29">
        <f ca="1">_xll.ciqfunctions.udf.CIQ($B29,"IQ_CDS_mid",F$2)</f>
        <v>777.16240000000005</v>
      </c>
      <c r="G29">
        <f ca="1">_xll.ciqfunctions.udf.CIQ($B29,"IQ_CDS_mid",G$2)</f>
        <v>770.78970000000004</v>
      </c>
      <c r="H29">
        <f ca="1">_xll.ciqfunctions.udf.CIQ($B29,"IQ_CDS_mid",H$2)</f>
        <v>762.09230000000002</v>
      </c>
      <c r="I29">
        <f ca="1">_xll.ciqfunctions.udf.CIQ($B29,"IQ_CDS_mid",I$2)</f>
        <v>761.52940000000001</v>
      </c>
      <c r="J29">
        <f ca="1">_xll.ciqfunctions.udf.CIQ($B29,"IQ_CDS_mid",J$2)</f>
        <v>761.14300000000003</v>
      </c>
      <c r="K29">
        <f ca="1">_xll.ciqfunctions.udf.CIQ($B29,"IQ_CDS_mid",K$2)</f>
        <v>760.81479999999999</v>
      </c>
      <c r="L29">
        <f ca="1">_xll.ciqfunctions.udf.CIQ($B29,"IQ_CDS_mid",L$2)</f>
        <v>760.81479999999999</v>
      </c>
      <c r="M29">
        <f ca="1">_xll.ciqfunctions.udf.CIQ($B29,"IQ_CDS_mid",M$2)</f>
        <v>760.81479999999999</v>
      </c>
      <c r="N29">
        <f ca="1">_xll.ciqfunctions.udf.CIQ($B29,"IQ_CDS_mid",N$2)</f>
        <v>760.57230000000004</v>
      </c>
      <c r="O29">
        <f ca="1">_xll.ciqfunctions.udf.CIQ($B29,"IQ_CDS_mid",O$2)</f>
        <v>761.11260000000004</v>
      </c>
      <c r="P29">
        <f ca="1">_xll.ciqfunctions.udf.CIQ($B29,"IQ_CDS_mid",P$2)</f>
        <v>761.66399999999999</v>
      </c>
      <c r="Q29">
        <f ca="1">_xll.ciqfunctions.udf.CIQ($B29,"IQ_CDS_mid",Q$2)</f>
        <v>760.44730000000004</v>
      </c>
      <c r="R29">
        <f ca="1">_xll.ciqfunctions.udf.CIQ($B29,"IQ_CDS_mid",R$2)</f>
        <v>772.86469999999997</v>
      </c>
      <c r="S29">
        <f ca="1">_xll.ciqfunctions.udf.CIQ($B29,"IQ_CDS_mid",S$2)</f>
        <v>14787.329299999999</v>
      </c>
      <c r="T29">
        <f t="shared" ca="1" si="5"/>
        <v>15.070100000000025</v>
      </c>
      <c r="U29">
        <f t="shared" ca="1" si="6"/>
        <v>16.347600000000057</v>
      </c>
      <c r="V29">
        <f t="shared" ca="1" si="7"/>
        <v>16.715100000000007</v>
      </c>
      <c r="W29">
        <f t="shared" ca="1" si="8"/>
        <v>4.2977000000000771</v>
      </c>
      <c r="X29">
        <f t="shared" ca="1" si="0"/>
        <v>-14010.1669</v>
      </c>
    </row>
    <row r="30" spans="1:24">
      <c r="A30" s="14" t="s">
        <v>39</v>
      </c>
      <c r="X30">
        <f t="shared" si="0"/>
        <v>0</v>
      </c>
    </row>
    <row r="31" spans="1:24">
      <c r="A31" t="s">
        <v>40</v>
      </c>
      <c r="B31" s="19" t="s">
        <v>190</v>
      </c>
      <c r="C31">
        <f ca="1">_xll.ciqfunctions.udf.CIQ($B31,"IQ_CDS_mid",C$2)</f>
        <v>14.6816</v>
      </c>
      <c r="D31">
        <f ca="1">_xll.ciqfunctions.udf.CIQ($B31,"IQ_CDS_mid",D$2)</f>
        <v>14.6816</v>
      </c>
      <c r="E31">
        <f ca="1">_xll.ciqfunctions.udf.CIQ($B31,"IQ_CDS_mid",E$2)</f>
        <v>14.6816</v>
      </c>
      <c r="F31">
        <f ca="1">_xll.ciqfunctions.udf.CIQ($B31,"IQ_CDS_mid",F$2)</f>
        <v>14.6816</v>
      </c>
      <c r="G31">
        <f ca="1">_xll.ciqfunctions.udf.CIQ($B31,"IQ_CDS_mid",G$2)</f>
        <v>14.324</v>
      </c>
      <c r="H31">
        <f ca="1">_xll.ciqfunctions.udf.CIQ($B31,"IQ_CDS_mid",H$2)</f>
        <v>14.1607</v>
      </c>
      <c r="I31">
        <f ca="1">_xll.ciqfunctions.udf.CIQ($B31,"IQ_CDS_mid",I$2)</f>
        <v>14.0679</v>
      </c>
      <c r="J31">
        <f ca="1">_xll.ciqfunctions.udf.CIQ($B31,"IQ_CDS_mid",J$2)</f>
        <v>14.0632</v>
      </c>
      <c r="K31">
        <f ca="1">_xll.ciqfunctions.udf.CIQ($B31,"IQ_CDS_mid",K$2)</f>
        <v>14.0458</v>
      </c>
      <c r="L31">
        <f ca="1">_xll.ciqfunctions.udf.CIQ($B31,"IQ_CDS_mid",L$2)</f>
        <v>14.0458</v>
      </c>
      <c r="M31">
        <f ca="1">_xll.ciqfunctions.udf.CIQ($B31,"IQ_CDS_mid",M$2)</f>
        <v>14.0458</v>
      </c>
      <c r="N31">
        <f ca="1">_xll.ciqfunctions.udf.CIQ($B31,"IQ_CDS_mid",N$2)</f>
        <v>14</v>
      </c>
      <c r="O31">
        <f ca="1">_xll.ciqfunctions.udf.CIQ($B31,"IQ_CDS_mid",O$2)</f>
        <v>14.125</v>
      </c>
      <c r="P31">
        <f ca="1">_xll.ciqfunctions.udf.CIQ($B31,"IQ_CDS_mid",P$2)</f>
        <v>14</v>
      </c>
      <c r="Q31">
        <f ca="1">_xll.ciqfunctions.udf.CIQ($B31,"IQ_CDS_mid",Q$2)</f>
        <v>13.9072</v>
      </c>
      <c r="R31">
        <f ca="1">_xll.ciqfunctions.udf.CIQ($B31,"IQ_CDS_mid",R$2)</f>
        <v>14.255000000000001</v>
      </c>
      <c r="S31">
        <f ca="1">_xll.ciqfunctions.udf.CIQ($B31,"IQ_CDS_mid",S$2)</f>
        <v>10.682700000000001</v>
      </c>
      <c r="T31">
        <f t="shared" ref="T31:T40" ca="1" si="9">C31-H31</f>
        <v>0.52089999999999925</v>
      </c>
      <c r="U31">
        <f t="shared" ref="U31:U40" ca="1" si="10">C31-M31</f>
        <v>0.6357999999999997</v>
      </c>
      <c r="V31">
        <f t="shared" ref="V31:V40" ca="1" si="11">C31-Q31</f>
        <v>0.77439999999999998</v>
      </c>
      <c r="W31">
        <f t="shared" ref="W31:W40" ca="1" si="12">C31-R31</f>
        <v>0.42659999999999876</v>
      </c>
      <c r="X31">
        <f t="shared" ca="1" si="0"/>
        <v>3.998899999999999</v>
      </c>
    </row>
    <row r="32" spans="1:24">
      <c r="A32" t="s">
        <v>41</v>
      </c>
      <c r="B32" s="19" t="s">
        <v>191</v>
      </c>
      <c r="C32">
        <f ca="1">_xll.ciqfunctions.udf.CIQ($B32,"IQ_CDS_mid",C$2)</f>
        <v>38.546199999999999</v>
      </c>
      <c r="D32">
        <f ca="1">_xll.ciqfunctions.udf.CIQ($B32,"IQ_CDS_mid",D$2)</f>
        <v>38.546199999999999</v>
      </c>
      <c r="E32">
        <f ca="1">_xll.ciqfunctions.udf.CIQ($B32,"IQ_CDS_mid",E$2)</f>
        <v>38.546199999999999</v>
      </c>
      <c r="F32">
        <f ca="1">_xll.ciqfunctions.udf.CIQ($B32,"IQ_CDS_mid",F$2)</f>
        <v>38.546199999999999</v>
      </c>
      <c r="G32">
        <f ca="1">_xll.ciqfunctions.udf.CIQ($B32,"IQ_CDS_mid",G$2)</f>
        <v>38.126899999999999</v>
      </c>
      <c r="H32">
        <f ca="1">_xll.ciqfunctions.udf.CIQ($B32,"IQ_CDS_mid",H$2)</f>
        <v>37.741500000000002</v>
      </c>
      <c r="I32">
        <f ca="1">_xll.ciqfunctions.udf.CIQ($B32,"IQ_CDS_mid",I$2)</f>
        <v>37.339300000000001</v>
      </c>
      <c r="J32">
        <f ca="1">_xll.ciqfunctions.udf.CIQ($B32,"IQ_CDS_mid",J$2)</f>
        <v>37.503599999999999</v>
      </c>
      <c r="K32">
        <f ca="1">_xll.ciqfunctions.udf.CIQ($B32,"IQ_CDS_mid",K$2)</f>
        <v>37.691499999999998</v>
      </c>
      <c r="L32">
        <f ca="1">_xll.ciqfunctions.udf.CIQ($B32,"IQ_CDS_mid",L$2)</f>
        <v>37.691499999999998</v>
      </c>
      <c r="M32">
        <f ca="1">_xll.ciqfunctions.udf.CIQ($B32,"IQ_CDS_mid",M$2)</f>
        <v>37.691499999999998</v>
      </c>
      <c r="N32">
        <f ca="1">_xll.ciqfunctions.udf.CIQ($B32,"IQ_CDS_mid",N$2)</f>
        <v>37.072899999999997</v>
      </c>
      <c r="O32">
        <f ca="1">_xll.ciqfunctions.udf.CIQ($B32,"IQ_CDS_mid",O$2)</f>
        <v>37.038600000000002</v>
      </c>
      <c r="P32">
        <f ca="1">_xll.ciqfunctions.udf.CIQ($B32,"IQ_CDS_mid",P$2)</f>
        <v>36.975900000000003</v>
      </c>
      <c r="Q32">
        <f ca="1">_xll.ciqfunctions.udf.CIQ($B32,"IQ_CDS_mid",Q$2)</f>
        <v>37.398899999999998</v>
      </c>
      <c r="R32">
        <f ca="1">_xll.ciqfunctions.udf.CIQ($B32,"IQ_CDS_mid",R$2)</f>
        <v>44.091700000000003</v>
      </c>
      <c r="S32">
        <f ca="1">_xll.ciqfunctions.udf.CIQ($B32,"IQ_CDS_mid",S$2)</f>
        <v>40.879800000000003</v>
      </c>
      <c r="T32">
        <f t="shared" ca="1" si="9"/>
        <v>0.80469999999999686</v>
      </c>
      <c r="U32">
        <f t="shared" ca="1" si="10"/>
        <v>0.85470000000000113</v>
      </c>
      <c r="V32">
        <f t="shared" ca="1" si="11"/>
        <v>1.1473000000000013</v>
      </c>
      <c r="W32">
        <f t="shared" ca="1" si="12"/>
        <v>-5.5455000000000041</v>
      </c>
      <c r="X32">
        <f t="shared" ca="1" si="0"/>
        <v>-2.3336000000000041</v>
      </c>
    </row>
    <row r="33" spans="1:24">
      <c r="A33" t="s">
        <v>42</v>
      </c>
      <c r="B33" s="19" t="s">
        <v>192</v>
      </c>
      <c r="C33">
        <f ca="1">_xll.ciqfunctions.udf.CIQ($B33,"IQ_CDS_mid",C$2)</f>
        <v>24.8871</v>
      </c>
      <c r="D33">
        <f ca="1">_xll.ciqfunctions.udf.CIQ($B33,"IQ_CDS_mid",D$2)</f>
        <v>24.8871</v>
      </c>
      <c r="E33">
        <f ca="1">_xll.ciqfunctions.udf.CIQ($B33,"IQ_CDS_mid",E$2)</f>
        <v>24.8871</v>
      </c>
      <c r="F33">
        <f ca="1">_xll.ciqfunctions.udf.CIQ($B33,"IQ_CDS_mid",F$2)</f>
        <v>24.8871</v>
      </c>
      <c r="G33">
        <f ca="1">_xll.ciqfunctions.udf.CIQ($B33,"IQ_CDS_mid",G$2)</f>
        <v>24.906300000000002</v>
      </c>
      <c r="H33">
        <f ca="1">_xll.ciqfunctions.udf.CIQ($B33,"IQ_CDS_mid",H$2)</f>
        <v>24.909500000000001</v>
      </c>
      <c r="I33">
        <f ca="1">_xll.ciqfunctions.udf.CIQ($B33,"IQ_CDS_mid",I$2)</f>
        <v>24.9252</v>
      </c>
      <c r="J33">
        <f ca="1">_xll.ciqfunctions.udf.CIQ($B33,"IQ_CDS_mid",J$2)</f>
        <v>24.926200000000001</v>
      </c>
      <c r="K33">
        <f ca="1">_xll.ciqfunctions.udf.CIQ($B33,"IQ_CDS_mid",K$2)</f>
        <v>24.942799999999998</v>
      </c>
      <c r="L33">
        <f ca="1">_xll.ciqfunctions.udf.CIQ($B33,"IQ_CDS_mid",L$2)</f>
        <v>24.942799999999998</v>
      </c>
      <c r="M33">
        <f ca="1">_xll.ciqfunctions.udf.CIQ($B33,"IQ_CDS_mid",M$2)</f>
        <v>24.942799999999998</v>
      </c>
      <c r="N33">
        <f ca="1">_xll.ciqfunctions.udf.CIQ($B33,"IQ_CDS_mid",N$2)</f>
        <v>24.990600000000001</v>
      </c>
      <c r="O33">
        <f ca="1">_xll.ciqfunctions.udf.CIQ($B33,"IQ_CDS_mid",O$2)</f>
        <v>24.954799999999999</v>
      </c>
      <c r="P33">
        <f ca="1">_xll.ciqfunctions.udf.CIQ($B33,"IQ_CDS_mid",P$2)</f>
        <v>24.877199999999998</v>
      </c>
      <c r="Q33">
        <f ca="1">_xll.ciqfunctions.udf.CIQ($B33,"IQ_CDS_mid",Q$2)</f>
        <v>24.878</v>
      </c>
      <c r="R33">
        <f ca="1">_xll.ciqfunctions.udf.CIQ($B33,"IQ_CDS_mid",R$2)</f>
        <v>26.008400000000002</v>
      </c>
      <c r="S33">
        <f ca="1">_xll.ciqfunctions.udf.CIQ($B33,"IQ_CDS_mid",S$2)</f>
        <v>33.567799999999998</v>
      </c>
      <c r="T33">
        <f t="shared" ca="1" si="9"/>
        <v>-2.2400000000001086E-2</v>
      </c>
      <c r="U33">
        <f t="shared" ca="1" si="10"/>
        <v>-5.5699999999998084E-2</v>
      </c>
      <c r="V33">
        <f t="shared" ca="1" si="11"/>
        <v>9.100000000000108E-3</v>
      </c>
      <c r="W33">
        <f t="shared" ca="1" si="12"/>
        <v>-1.1213000000000015</v>
      </c>
      <c r="X33">
        <f t="shared" ca="1" si="0"/>
        <v>-8.6806999999999981</v>
      </c>
    </row>
    <row r="34" spans="1:24">
      <c r="A34" t="s">
        <v>43</v>
      </c>
      <c r="B34" s="19" t="s">
        <v>193</v>
      </c>
      <c r="C34">
        <f ca="1">_xll.ciqfunctions.udf.CIQ($B34,"IQ_CDS_mid",C$2)</f>
        <v>0</v>
      </c>
      <c r="D34">
        <f ca="1">_xll.ciqfunctions.udf.CIQ($B34,"IQ_CDS_mid",D$2)</f>
        <v>0</v>
      </c>
      <c r="E34">
        <f ca="1">_xll.ciqfunctions.udf.CIQ($B34,"IQ_CDS_mid",E$2)</f>
        <v>0</v>
      </c>
      <c r="F34">
        <f ca="1">_xll.ciqfunctions.udf.CIQ($B34,"IQ_CDS_mid",F$2)</f>
        <v>0</v>
      </c>
      <c r="G34">
        <f ca="1">_xll.ciqfunctions.udf.CIQ($B34,"IQ_CDS_mid",G$2)</f>
        <v>0</v>
      </c>
      <c r="H34">
        <f ca="1">_xll.ciqfunctions.udf.CIQ($B34,"IQ_CDS_mid",H$2)</f>
        <v>0</v>
      </c>
      <c r="I34">
        <f ca="1">_xll.ciqfunctions.udf.CIQ($B34,"IQ_CDS_mid",I$2)</f>
        <v>0</v>
      </c>
      <c r="J34">
        <f ca="1">_xll.ciqfunctions.udf.CIQ($B34,"IQ_CDS_mid",J$2)</f>
        <v>0</v>
      </c>
      <c r="K34">
        <f ca="1">_xll.ciqfunctions.udf.CIQ($B34,"IQ_CDS_mid",K$2)</f>
        <v>0</v>
      </c>
      <c r="L34">
        <f ca="1">_xll.ciqfunctions.udf.CIQ($B34,"IQ_CDS_mid",L$2)</f>
        <v>0</v>
      </c>
      <c r="M34">
        <f ca="1">_xll.ciqfunctions.udf.CIQ($B34,"IQ_CDS_mid",M$2)</f>
        <v>0</v>
      </c>
      <c r="N34">
        <f ca="1">_xll.ciqfunctions.udf.CIQ($B34,"IQ_CDS_mid",N$2)</f>
        <v>0</v>
      </c>
      <c r="O34">
        <f ca="1">_xll.ciqfunctions.udf.CIQ($B34,"IQ_CDS_mid",O$2)</f>
        <v>0</v>
      </c>
      <c r="P34">
        <f ca="1">_xll.ciqfunctions.udf.CIQ($B34,"IQ_CDS_mid",P$2)</f>
        <v>0</v>
      </c>
      <c r="Q34">
        <f ca="1">_xll.ciqfunctions.udf.CIQ($B34,"IQ_CDS_mid",Q$2)</f>
        <v>0</v>
      </c>
      <c r="R34">
        <f ca="1">_xll.ciqfunctions.udf.CIQ($B34,"IQ_CDS_mid",R$2)</f>
        <v>0</v>
      </c>
      <c r="S34">
        <f ca="1">_xll.ciqfunctions.udf.CIQ($B34,"IQ_CDS_mid",S$2)</f>
        <v>46.486499999999999</v>
      </c>
      <c r="T34">
        <f t="shared" ca="1" si="9"/>
        <v>0</v>
      </c>
      <c r="U34">
        <f t="shared" ca="1" si="10"/>
        <v>0</v>
      </c>
      <c r="V34">
        <f t="shared" ca="1" si="11"/>
        <v>0</v>
      </c>
      <c r="W34">
        <f t="shared" ca="1" si="12"/>
        <v>0</v>
      </c>
      <c r="X34">
        <f t="shared" ca="1" si="0"/>
        <v>-46.486499999999999</v>
      </c>
    </row>
    <row r="35" spans="1:24">
      <c r="A35" t="s">
        <v>44</v>
      </c>
      <c r="B35" s="19" t="s">
        <v>194</v>
      </c>
      <c r="C35">
        <f ca="1">_xll.ciqfunctions.udf.CIQ($B35,"IQ_CDS_mid",C$2)</f>
        <v>27.112300000000001</v>
      </c>
      <c r="D35">
        <f ca="1">_xll.ciqfunctions.udf.CIQ($B35,"IQ_CDS_mid",D$2)</f>
        <v>27.112300000000001</v>
      </c>
      <c r="E35">
        <f ca="1">_xll.ciqfunctions.udf.CIQ($B35,"IQ_CDS_mid",E$2)</f>
        <v>27.112300000000001</v>
      </c>
      <c r="F35">
        <f ca="1">_xll.ciqfunctions.udf.CIQ($B35,"IQ_CDS_mid",F$2)</f>
        <v>27.112300000000001</v>
      </c>
      <c r="G35">
        <f ca="1">_xll.ciqfunctions.udf.CIQ($B35,"IQ_CDS_mid",G$2)</f>
        <v>26.913499999999999</v>
      </c>
      <c r="H35">
        <f ca="1">_xll.ciqfunctions.udf.CIQ($B35,"IQ_CDS_mid",H$2)</f>
        <v>26.919699999999999</v>
      </c>
      <c r="I35">
        <f ca="1">_xll.ciqfunctions.udf.CIQ($B35,"IQ_CDS_mid",I$2)</f>
        <v>26.713699999999999</v>
      </c>
      <c r="J35">
        <f ca="1">_xll.ciqfunctions.udf.CIQ($B35,"IQ_CDS_mid",J$2)</f>
        <v>26.838000000000001</v>
      </c>
      <c r="K35">
        <f ca="1">_xll.ciqfunctions.udf.CIQ($B35,"IQ_CDS_mid",K$2)</f>
        <v>26.687899999999999</v>
      </c>
      <c r="L35">
        <f ca="1">_xll.ciqfunctions.udf.CIQ($B35,"IQ_CDS_mid",L$2)</f>
        <v>26.687899999999999</v>
      </c>
      <c r="M35">
        <f ca="1">_xll.ciqfunctions.udf.CIQ($B35,"IQ_CDS_mid",M$2)</f>
        <v>26.687899999999999</v>
      </c>
      <c r="N35">
        <f ca="1">_xll.ciqfunctions.udf.CIQ($B35,"IQ_CDS_mid",N$2)</f>
        <v>26.485600000000002</v>
      </c>
      <c r="O35">
        <f ca="1">_xll.ciqfunctions.udf.CIQ($B35,"IQ_CDS_mid",O$2)</f>
        <v>26.411000000000001</v>
      </c>
      <c r="P35">
        <f ca="1">_xll.ciqfunctions.udf.CIQ($B35,"IQ_CDS_mid",P$2)</f>
        <v>26.5886</v>
      </c>
      <c r="Q35">
        <f ca="1">_xll.ciqfunctions.udf.CIQ($B35,"IQ_CDS_mid",Q$2)</f>
        <v>26.679099999999998</v>
      </c>
      <c r="R35">
        <f ca="1">_xll.ciqfunctions.udf.CIQ($B35,"IQ_CDS_mid",R$2)</f>
        <v>27.158300000000001</v>
      </c>
      <c r="S35">
        <f ca="1">_xll.ciqfunctions.udf.CIQ($B35,"IQ_CDS_mid",S$2)</f>
        <v>21.071000000000002</v>
      </c>
      <c r="T35">
        <f t="shared" ca="1" si="9"/>
        <v>0.19260000000000232</v>
      </c>
      <c r="U35">
        <f t="shared" ca="1" si="10"/>
        <v>0.42440000000000211</v>
      </c>
      <c r="V35">
        <f t="shared" ca="1" si="11"/>
        <v>0.43320000000000292</v>
      </c>
      <c r="W35">
        <f t="shared" ca="1" si="12"/>
        <v>-4.5999999999999375E-2</v>
      </c>
      <c r="X35">
        <f t="shared" ca="1" si="0"/>
        <v>6.0412999999999997</v>
      </c>
    </row>
    <row r="36" spans="1:24">
      <c r="A36" t="s">
        <v>45</v>
      </c>
      <c r="B36" s="19" t="s">
        <v>195</v>
      </c>
      <c r="C36">
        <f ca="1">_xll.ciqfunctions.udf.CIQ($B36,"IQ_CDS_mid",C$2)</f>
        <v>38.194499999999998</v>
      </c>
      <c r="D36">
        <f ca="1">_xll.ciqfunctions.udf.CIQ($B36,"IQ_CDS_mid",D$2)</f>
        <v>38.194499999999998</v>
      </c>
      <c r="E36">
        <f ca="1">_xll.ciqfunctions.udf.CIQ($B36,"IQ_CDS_mid",E$2)</f>
        <v>38.194499999999998</v>
      </c>
      <c r="F36">
        <f ca="1">_xll.ciqfunctions.udf.CIQ($B36,"IQ_CDS_mid",F$2)</f>
        <v>38.194499999999998</v>
      </c>
      <c r="G36">
        <f ca="1">_xll.ciqfunctions.udf.CIQ($B36,"IQ_CDS_mid",G$2)</f>
        <v>37.622199999999999</v>
      </c>
      <c r="H36">
        <f ca="1">_xll.ciqfunctions.udf.CIQ($B36,"IQ_CDS_mid",H$2)</f>
        <v>36.816899999999997</v>
      </c>
      <c r="I36">
        <f ca="1">_xll.ciqfunctions.udf.CIQ($B36,"IQ_CDS_mid",I$2)</f>
        <v>36.699100000000001</v>
      </c>
      <c r="J36">
        <f ca="1">_xll.ciqfunctions.udf.CIQ($B36,"IQ_CDS_mid",J$2)</f>
        <v>36.666899999999998</v>
      </c>
      <c r="K36">
        <f ca="1">_xll.ciqfunctions.udf.CIQ($B36,"IQ_CDS_mid",K$2)</f>
        <v>37.305100000000003</v>
      </c>
      <c r="L36">
        <f ca="1">_xll.ciqfunctions.udf.CIQ($B36,"IQ_CDS_mid",L$2)</f>
        <v>37.305100000000003</v>
      </c>
      <c r="M36">
        <f ca="1">_xll.ciqfunctions.udf.CIQ($B36,"IQ_CDS_mid",M$2)</f>
        <v>37.305100000000003</v>
      </c>
      <c r="N36">
        <f ca="1">_xll.ciqfunctions.udf.CIQ($B36,"IQ_CDS_mid",N$2)</f>
        <v>36.674999999999997</v>
      </c>
      <c r="O36">
        <f ca="1">_xll.ciqfunctions.udf.CIQ($B36,"IQ_CDS_mid",O$2)</f>
        <v>36.93</v>
      </c>
      <c r="P36">
        <f ca="1">_xll.ciqfunctions.udf.CIQ($B36,"IQ_CDS_mid",P$2)</f>
        <v>37.049999999999997</v>
      </c>
      <c r="Q36">
        <f ca="1">_xll.ciqfunctions.udf.CIQ($B36,"IQ_CDS_mid",Q$2)</f>
        <v>36.887300000000003</v>
      </c>
      <c r="R36">
        <f ca="1">_xll.ciqfunctions.udf.CIQ($B36,"IQ_CDS_mid",R$2)</f>
        <v>38.256599999999999</v>
      </c>
      <c r="S36">
        <f ca="1">_xll.ciqfunctions.udf.CIQ($B36,"IQ_CDS_mid",S$2)</f>
        <v>40.4</v>
      </c>
      <c r="T36">
        <f t="shared" ca="1" si="9"/>
        <v>1.377600000000001</v>
      </c>
      <c r="U36">
        <f t="shared" ca="1" si="10"/>
        <v>0.88939999999999486</v>
      </c>
      <c r="V36">
        <f t="shared" ca="1" si="11"/>
        <v>1.3071999999999946</v>
      </c>
      <c r="W36">
        <f t="shared" ca="1" si="12"/>
        <v>-6.2100000000000932E-2</v>
      </c>
      <c r="X36">
        <f t="shared" ca="1" si="0"/>
        <v>-2.2055000000000007</v>
      </c>
    </row>
    <row r="37" spans="1:24">
      <c r="A37" t="s">
        <v>46</v>
      </c>
      <c r="B37" s="19" t="s">
        <v>196</v>
      </c>
      <c r="C37">
        <f ca="1">_xll.ciqfunctions.udf.CIQ($B37,"IQ_CDS_mid",C$2)</f>
        <v>15.412000000000001</v>
      </c>
      <c r="D37">
        <f ca="1">_xll.ciqfunctions.udf.CIQ($B37,"IQ_CDS_mid",D$2)</f>
        <v>15.412000000000001</v>
      </c>
      <c r="E37">
        <f ca="1">_xll.ciqfunctions.udf.CIQ($B37,"IQ_CDS_mid",E$2)</f>
        <v>15.412000000000001</v>
      </c>
      <c r="F37">
        <f ca="1">_xll.ciqfunctions.udf.CIQ($B37,"IQ_CDS_mid",F$2)</f>
        <v>15.412000000000001</v>
      </c>
      <c r="G37">
        <f ca="1">_xll.ciqfunctions.udf.CIQ($B37,"IQ_CDS_mid",G$2)</f>
        <v>15.080500000000001</v>
      </c>
      <c r="H37">
        <f ca="1">_xll.ciqfunctions.udf.CIQ($B37,"IQ_CDS_mid",H$2)</f>
        <v>15.034000000000001</v>
      </c>
      <c r="I37">
        <f ca="1">_xll.ciqfunctions.udf.CIQ($B37,"IQ_CDS_mid",I$2)</f>
        <v>15.031499999999999</v>
      </c>
      <c r="J37">
        <f ca="1">_xll.ciqfunctions.udf.CIQ($B37,"IQ_CDS_mid",J$2)</f>
        <v>15.023</v>
      </c>
      <c r="K37">
        <f ca="1">_xll.ciqfunctions.udf.CIQ($B37,"IQ_CDS_mid",K$2)</f>
        <v>15</v>
      </c>
      <c r="L37">
        <f ca="1">_xll.ciqfunctions.udf.CIQ($B37,"IQ_CDS_mid",L$2)</f>
        <v>15</v>
      </c>
      <c r="M37">
        <f ca="1">_xll.ciqfunctions.udf.CIQ($B37,"IQ_CDS_mid",M$2)</f>
        <v>15</v>
      </c>
      <c r="N37">
        <f ca="1">_xll.ciqfunctions.udf.CIQ($B37,"IQ_CDS_mid",N$2)</f>
        <v>15.0625</v>
      </c>
      <c r="O37">
        <f ca="1">_xll.ciqfunctions.udf.CIQ($B37,"IQ_CDS_mid",O$2)</f>
        <v>15</v>
      </c>
      <c r="P37">
        <f ca="1">_xll.ciqfunctions.udf.CIQ($B37,"IQ_CDS_mid",P$2)</f>
        <v>14.9535</v>
      </c>
      <c r="Q37">
        <f ca="1">_xll.ciqfunctions.udf.CIQ($B37,"IQ_CDS_mid",Q$2)</f>
        <v>14.973000000000001</v>
      </c>
      <c r="R37">
        <f ca="1">_xll.ciqfunctions.udf.CIQ($B37,"IQ_CDS_mid",R$2)</f>
        <v>16.182500000000001</v>
      </c>
      <c r="S37">
        <f ca="1">_xll.ciqfunctions.udf.CIQ($B37,"IQ_CDS_mid",S$2)</f>
        <v>13.8355</v>
      </c>
      <c r="T37">
        <f t="shared" ca="1" si="9"/>
        <v>0.37800000000000011</v>
      </c>
      <c r="U37">
        <f t="shared" ca="1" si="10"/>
        <v>0.41200000000000081</v>
      </c>
      <c r="V37">
        <f t="shared" ca="1" si="11"/>
        <v>0.43900000000000006</v>
      </c>
      <c r="W37">
        <f t="shared" ca="1" si="12"/>
        <v>-0.77050000000000018</v>
      </c>
      <c r="X37">
        <f t="shared" ca="1" si="0"/>
        <v>1.5765000000000011</v>
      </c>
    </row>
    <row r="38" spans="1:24">
      <c r="A38" t="s">
        <v>47</v>
      </c>
      <c r="B38" s="19" t="s">
        <v>197</v>
      </c>
      <c r="C38">
        <f ca="1">_xll.ciqfunctions.udf.CIQ($B38,"IQ_CDS_mid",C$2)</f>
        <v>0</v>
      </c>
      <c r="D38">
        <f ca="1">_xll.ciqfunctions.udf.CIQ($B38,"IQ_CDS_mid",D$2)</f>
        <v>0</v>
      </c>
      <c r="E38">
        <f ca="1">_xll.ciqfunctions.udf.CIQ($B38,"IQ_CDS_mid",E$2)</f>
        <v>0</v>
      </c>
      <c r="F38">
        <f ca="1">_xll.ciqfunctions.udf.CIQ($B38,"IQ_CDS_mid",F$2)</f>
        <v>0</v>
      </c>
      <c r="G38">
        <f ca="1">_xll.ciqfunctions.udf.CIQ($B38,"IQ_CDS_mid",G$2)</f>
        <v>0</v>
      </c>
      <c r="H38">
        <f ca="1">_xll.ciqfunctions.udf.CIQ($B38,"IQ_CDS_mid",H$2)</f>
        <v>0</v>
      </c>
      <c r="I38">
        <f ca="1">_xll.ciqfunctions.udf.CIQ($B38,"IQ_CDS_mid",I$2)</f>
        <v>0</v>
      </c>
      <c r="J38">
        <f ca="1">_xll.ciqfunctions.udf.CIQ($B38,"IQ_CDS_mid",J$2)</f>
        <v>0</v>
      </c>
      <c r="K38">
        <f ca="1">_xll.ciqfunctions.udf.CIQ($B38,"IQ_CDS_mid",K$2)</f>
        <v>0</v>
      </c>
      <c r="L38">
        <f ca="1">_xll.ciqfunctions.udf.CIQ($B38,"IQ_CDS_mid",L$2)</f>
        <v>0</v>
      </c>
      <c r="M38">
        <f ca="1">_xll.ciqfunctions.udf.CIQ($B38,"IQ_CDS_mid",M$2)</f>
        <v>0</v>
      </c>
      <c r="N38">
        <f ca="1">_xll.ciqfunctions.udf.CIQ($B38,"IQ_CDS_mid",N$2)</f>
        <v>0</v>
      </c>
      <c r="O38">
        <f ca="1">_xll.ciqfunctions.udf.CIQ($B38,"IQ_CDS_mid",O$2)</f>
        <v>0</v>
      </c>
      <c r="P38">
        <f ca="1">_xll.ciqfunctions.udf.CIQ($B38,"IQ_CDS_mid",P$2)</f>
        <v>0</v>
      </c>
      <c r="Q38">
        <f ca="1">_xll.ciqfunctions.udf.CIQ($B38,"IQ_CDS_mid",Q$2)</f>
        <v>0</v>
      </c>
      <c r="R38">
        <f ca="1">_xll.ciqfunctions.udf.CIQ($B38,"IQ_CDS_mid",R$2)</f>
        <v>0</v>
      </c>
      <c r="S38">
        <f ca="1">_xll.ciqfunctions.udf.CIQ($B38,"IQ_CDS_mid",S$2)</f>
        <v>0</v>
      </c>
      <c r="T38">
        <f t="shared" ca="1" si="9"/>
        <v>0</v>
      </c>
      <c r="U38">
        <f t="shared" ca="1" si="10"/>
        <v>0</v>
      </c>
      <c r="V38">
        <f t="shared" ca="1" si="11"/>
        <v>0</v>
      </c>
      <c r="W38">
        <f t="shared" ca="1" si="12"/>
        <v>0</v>
      </c>
      <c r="X38">
        <f t="shared" ca="1" si="0"/>
        <v>0</v>
      </c>
    </row>
    <row r="39" spans="1:24">
      <c r="A39" t="s">
        <v>48</v>
      </c>
      <c r="B39" s="19" t="s">
        <v>198</v>
      </c>
      <c r="C39">
        <f ca="1">_xll.ciqfunctions.udf.CIQ($B39,"IQ_CDS_mid",C$2)</f>
        <v>2.1520999999999999</v>
      </c>
      <c r="D39">
        <f ca="1">_xll.ciqfunctions.udf.CIQ($B39,"IQ_CDS_mid",D$2)</f>
        <v>2.1520999999999999</v>
      </c>
      <c r="E39">
        <f ca="1">_xll.ciqfunctions.udf.CIQ($B39,"IQ_CDS_mid",E$2)</f>
        <v>2.1520999999999999</v>
      </c>
      <c r="F39">
        <f ca="1">_xll.ciqfunctions.udf.CIQ($B39,"IQ_CDS_mid",F$2)</f>
        <v>2.1520999999999999</v>
      </c>
      <c r="G39">
        <f ca="1">_xll.ciqfunctions.udf.CIQ($B39,"IQ_CDS_mid",G$2)</f>
        <v>2.3334000000000001</v>
      </c>
      <c r="H39">
        <f ca="1">_xll.ciqfunctions.udf.CIQ($B39,"IQ_CDS_mid",H$2)</f>
        <v>2.3334000000000001</v>
      </c>
      <c r="I39">
        <f ca="1">_xll.ciqfunctions.udf.CIQ($B39,"IQ_CDS_mid",I$2)</f>
        <v>2.3334000000000001</v>
      </c>
      <c r="J39">
        <f ca="1">_xll.ciqfunctions.udf.CIQ($B39,"IQ_CDS_mid",J$2)</f>
        <v>2.3334000000000001</v>
      </c>
      <c r="K39">
        <f ca="1">_xll.ciqfunctions.udf.CIQ($B39,"IQ_CDS_mid",K$2)</f>
        <v>2.3334000000000001</v>
      </c>
      <c r="L39">
        <f ca="1">_xll.ciqfunctions.udf.CIQ($B39,"IQ_CDS_mid",L$2)</f>
        <v>2.3334000000000001</v>
      </c>
      <c r="M39">
        <f ca="1">_xll.ciqfunctions.udf.CIQ($B39,"IQ_CDS_mid",M$2)</f>
        <v>2.3334000000000001</v>
      </c>
      <c r="N39">
        <f ca="1">_xll.ciqfunctions.udf.CIQ($B39,"IQ_CDS_mid",N$2)</f>
        <v>2.3334000000000001</v>
      </c>
      <c r="O39">
        <f ca="1">_xll.ciqfunctions.udf.CIQ($B39,"IQ_CDS_mid",O$2)</f>
        <v>2.3334000000000001</v>
      </c>
      <c r="P39">
        <f ca="1">_xll.ciqfunctions.udf.CIQ($B39,"IQ_CDS_mid",P$2)</f>
        <v>2.3334000000000001</v>
      </c>
      <c r="Q39">
        <f ca="1">_xll.ciqfunctions.udf.CIQ($B39,"IQ_CDS_mid",Q$2)</f>
        <v>2.3334000000000001</v>
      </c>
      <c r="R39">
        <f ca="1">_xll.ciqfunctions.udf.CIQ($B39,"IQ_CDS_mid",R$2)</f>
        <v>2.3334000000000001</v>
      </c>
      <c r="S39">
        <f ca="1">_xll.ciqfunctions.udf.CIQ($B39,"IQ_CDS_mid",S$2)</f>
        <v>3.2726000000000002</v>
      </c>
      <c r="T39">
        <f t="shared" ca="1" si="9"/>
        <v>-0.18130000000000024</v>
      </c>
      <c r="U39">
        <f t="shared" ca="1" si="10"/>
        <v>-0.18130000000000024</v>
      </c>
      <c r="V39">
        <f t="shared" ca="1" si="11"/>
        <v>-0.18130000000000024</v>
      </c>
      <c r="W39">
        <f t="shared" ca="1" si="12"/>
        <v>-0.18130000000000024</v>
      </c>
      <c r="X39">
        <f t="shared" ca="1" si="0"/>
        <v>-1.1205000000000003</v>
      </c>
    </row>
    <row r="40" spans="1:24">
      <c r="A40" t="s">
        <v>49</v>
      </c>
      <c r="B40" s="19" t="s">
        <v>199</v>
      </c>
      <c r="C40">
        <f ca="1">_xll.ciqfunctions.udf.CIQ($B40,"IQ_CDS_mid",C$2)</f>
        <v>23.325099999999999</v>
      </c>
      <c r="D40">
        <f ca="1">_xll.ciqfunctions.udf.CIQ($B40,"IQ_CDS_mid",D$2)</f>
        <v>23.325099999999999</v>
      </c>
      <c r="E40">
        <f ca="1">_xll.ciqfunctions.udf.CIQ($B40,"IQ_CDS_mid",E$2)</f>
        <v>23.325099999999999</v>
      </c>
      <c r="F40">
        <f ca="1">_xll.ciqfunctions.udf.CIQ($B40,"IQ_CDS_mid",F$2)</f>
        <v>23.325099999999999</v>
      </c>
      <c r="G40">
        <f ca="1">_xll.ciqfunctions.udf.CIQ($B40,"IQ_CDS_mid",G$2)</f>
        <v>22.835000000000001</v>
      </c>
      <c r="H40">
        <f ca="1">_xll.ciqfunctions.udf.CIQ($B40,"IQ_CDS_mid",H$2)</f>
        <v>22.688800000000001</v>
      </c>
      <c r="I40">
        <f ca="1">_xll.ciqfunctions.udf.CIQ($B40,"IQ_CDS_mid",I$2)</f>
        <v>22.708300000000001</v>
      </c>
      <c r="J40">
        <f ca="1">_xll.ciqfunctions.udf.CIQ($B40,"IQ_CDS_mid",J$2)</f>
        <v>22.718800000000002</v>
      </c>
      <c r="K40">
        <f ca="1">_xll.ciqfunctions.udf.CIQ($B40,"IQ_CDS_mid",K$2)</f>
        <v>22.824999999999999</v>
      </c>
      <c r="L40">
        <f ca="1">_xll.ciqfunctions.udf.CIQ($B40,"IQ_CDS_mid",L$2)</f>
        <v>22.824999999999999</v>
      </c>
      <c r="M40">
        <f ca="1">_xll.ciqfunctions.udf.CIQ($B40,"IQ_CDS_mid",M$2)</f>
        <v>22.824999999999999</v>
      </c>
      <c r="N40">
        <f ca="1">_xll.ciqfunctions.udf.CIQ($B40,"IQ_CDS_mid",N$2)</f>
        <v>22.418299999999999</v>
      </c>
      <c r="O40">
        <f ca="1">_xll.ciqfunctions.udf.CIQ($B40,"IQ_CDS_mid",O$2)</f>
        <v>22.656300000000002</v>
      </c>
      <c r="P40">
        <f ca="1">_xll.ciqfunctions.udf.CIQ($B40,"IQ_CDS_mid",P$2)</f>
        <v>22.5258</v>
      </c>
      <c r="Q40">
        <f ca="1">_xll.ciqfunctions.udf.CIQ($B40,"IQ_CDS_mid",Q$2)</f>
        <v>22.773399999999999</v>
      </c>
      <c r="R40">
        <f ca="1">_xll.ciqfunctions.udf.CIQ($B40,"IQ_CDS_mid",R$2)</f>
        <v>28.837499999999999</v>
      </c>
      <c r="S40">
        <f ca="1">_xll.ciqfunctions.udf.CIQ($B40,"IQ_CDS_mid",S$2)</f>
        <v>22.574300000000001</v>
      </c>
      <c r="T40">
        <f t="shared" ca="1" si="9"/>
        <v>0.63629999999999853</v>
      </c>
      <c r="U40">
        <f t="shared" ca="1" si="10"/>
        <v>0.50009999999999977</v>
      </c>
      <c r="V40">
        <f t="shared" ca="1" si="11"/>
        <v>0.5517000000000003</v>
      </c>
      <c r="W40">
        <f t="shared" ca="1" si="12"/>
        <v>-5.5123999999999995</v>
      </c>
      <c r="X40">
        <f t="shared" ca="1" si="0"/>
        <v>0.75079999999999814</v>
      </c>
    </row>
    <row r="41" spans="1:24">
      <c r="A41" t="s">
        <v>50</v>
      </c>
      <c r="B41" s="19"/>
    </row>
    <row r="42" spans="1:24">
      <c r="A42" t="s">
        <v>51</v>
      </c>
      <c r="B42" s="19" t="s">
        <v>200</v>
      </c>
      <c r="C42">
        <f ca="1">_xll.ciqfunctions.udf.CIQ($B42,"IQ_CDS_mid",C$2)</f>
        <v>44.390300000000003</v>
      </c>
      <c r="D42">
        <f ca="1">_xll.ciqfunctions.udf.CIQ($B42,"IQ_CDS_mid",D$2)</f>
        <v>44.390300000000003</v>
      </c>
      <c r="E42">
        <f ca="1">_xll.ciqfunctions.udf.CIQ($B42,"IQ_CDS_mid",E$2)</f>
        <v>44.390300000000003</v>
      </c>
      <c r="F42">
        <f ca="1">_xll.ciqfunctions.udf.CIQ($B42,"IQ_CDS_mid",F$2)</f>
        <v>44.390300000000003</v>
      </c>
      <c r="G42">
        <f ca="1">_xll.ciqfunctions.udf.CIQ($B42,"IQ_CDS_mid",G$2)</f>
        <v>43.317999999999998</v>
      </c>
      <c r="H42">
        <f ca="1">_xll.ciqfunctions.udf.CIQ($B42,"IQ_CDS_mid",H$2)</f>
        <v>43.084099999999999</v>
      </c>
      <c r="I42">
        <f ca="1">_xll.ciqfunctions.udf.CIQ($B42,"IQ_CDS_mid",I$2)</f>
        <v>42.632599999999996</v>
      </c>
      <c r="J42">
        <f ca="1">_xll.ciqfunctions.udf.CIQ($B42,"IQ_CDS_mid",J$2)</f>
        <v>43.027500000000003</v>
      </c>
      <c r="K42">
        <f ca="1">_xll.ciqfunctions.udf.CIQ($B42,"IQ_CDS_mid",K$2)</f>
        <v>42.500500000000002</v>
      </c>
      <c r="L42">
        <f ca="1">_xll.ciqfunctions.udf.CIQ($B42,"IQ_CDS_mid",L$2)</f>
        <v>42.500500000000002</v>
      </c>
      <c r="M42">
        <f ca="1">_xll.ciqfunctions.udf.CIQ($B42,"IQ_CDS_mid",M$2)</f>
        <v>42.500500000000002</v>
      </c>
      <c r="N42">
        <f ca="1">_xll.ciqfunctions.udf.CIQ($B42,"IQ_CDS_mid",N$2)</f>
        <v>41.8125</v>
      </c>
      <c r="O42">
        <f ca="1">_xll.ciqfunctions.udf.CIQ($B42,"IQ_CDS_mid",O$2)</f>
        <v>41.8157</v>
      </c>
      <c r="P42">
        <f ca="1">_xll.ciqfunctions.udf.CIQ($B42,"IQ_CDS_mid",P$2)</f>
        <v>41.998699999999999</v>
      </c>
      <c r="Q42">
        <f ca="1">_xll.ciqfunctions.udf.CIQ($B42,"IQ_CDS_mid",Q$2)</f>
        <v>41.367800000000003</v>
      </c>
      <c r="R42">
        <f ca="1">_xll.ciqfunctions.udf.CIQ($B42,"IQ_CDS_mid",R$2)</f>
        <v>52.047400000000003</v>
      </c>
      <c r="S42">
        <f ca="1">_xll.ciqfunctions.udf.CIQ($B42,"IQ_CDS_mid",S$2)</f>
        <v>41.093800000000002</v>
      </c>
      <c r="T42">
        <f ca="1">C42-H42</f>
        <v>1.306200000000004</v>
      </c>
      <c r="U42">
        <f ca="1">C42-M42</f>
        <v>1.889800000000001</v>
      </c>
      <c r="V42">
        <f ca="1">C42-Q42</f>
        <v>3.0225000000000009</v>
      </c>
      <c r="W42">
        <f ca="1">C42-R42</f>
        <v>-7.6570999999999998</v>
      </c>
      <c r="X42">
        <f t="shared" ref="X42:X84" ca="1" si="13">C42-S42</f>
        <v>3.2965000000000018</v>
      </c>
    </row>
    <row r="43" spans="1:24">
      <c r="A43" s="14" t="s">
        <v>52</v>
      </c>
      <c r="X43">
        <f t="shared" si="13"/>
        <v>0</v>
      </c>
    </row>
    <row r="44" spans="1:24">
      <c r="A44" t="s">
        <v>53</v>
      </c>
      <c r="B44" t="s">
        <v>209</v>
      </c>
      <c r="C44">
        <f ca="1">_xll.ciqfunctions.udf.CIQ($B44,"IQ_CDS_mid",C$2)</f>
        <v>134.41319999999999</v>
      </c>
      <c r="D44">
        <f ca="1">_xll.ciqfunctions.udf.CIQ($B44,"IQ_CDS_mid",D$2)</f>
        <v>134.41319999999999</v>
      </c>
      <c r="E44">
        <f ca="1">_xll.ciqfunctions.udf.CIQ($B44,"IQ_CDS_mid",E$2)</f>
        <v>134.41319999999999</v>
      </c>
      <c r="F44">
        <f ca="1">_xll.ciqfunctions.udf.CIQ($B44,"IQ_CDS_mid",F$2)</f>
        <v>134.41319999999999</v>
      </c>
      <c r="G44">
        <f ca="1">_xll.ciqfunctions.udf.CIQ($B44,"IQ_CDS_mid",G$2)</f>
        <v>133.61080000000001</v>
      </c>
      <c r="H44">
        <f ca="1">_xll.ciqfunctions.udf.CIQ($B44,"IQ_CDS_mid",H$2)</f>
        <v>129.58969999999999</v>
      </c>
      <c r="I44">
        <f ca="1">_xll.ciqfunctions.udf.CIQ($B44,"IQ_CDS_mid",I$2)</f>
        <v>129.64769999999999</v>
      </c>
      <c r="J44">
        <f ca="1">_xll.ciqfunctions.udf.CIQ($B44,"IQ_CDS_mid",J$2)</f>
        <v>130.10990000000001</v>
      </c>
      <c r="K44">
        <f ca="1">_xll.ciqfunctions.udf.CIQ($B44,"IQ_CDS_mid",K$2)</f>
        <v>129.27850000000001</v>
      </c>
      <c r="L44">
        <f ca="1">_xll.ciqfunctions.udf.CIQ($B44,"IQ_CDS_mid",L$2)</f>
        <v>129.27850000000001</v>
      </c>
      <c r="M44">
        <f ca="1">_xll.ciqfunctions.udf.CIQ($B44,"IQ_CDS_mid",M$2)</f>
        <v>129.27850000000001</v>
      </c>
      <c r="N44">
        <f ca="1">_xll.ciqfunctions.udf.CIQ($B44,"IQ_CDS_mid",N$2)</f>
        <v>125.64</v>
      </c>
      <c r="O44">
        <f ca="1">_xll.ciqfunctions.udf.CIQ($B44,"IQ_CDS_mid",O$2)</f>
        <v>124.84229999999999</v>
      </c>
      <c r="P44">
        <f ca="1">_xll.ciqfunctions.udf.CIQ($B44,"IQ_CDS_mid",P$2)</f>
        <v>124.8592</v>
      </c>
      <c r="Q44">
        <f ca="1">_xll.ciqfunctions.udf.CIQ($B44,"IQ_CDS_mid",Q$2)</f>
        <v>124.38160000000001</v>
      </c>
      <c r="R44">
        <f ca="1">_xll.ciqfunctions.udf.CIQ($B44,"IQ_CDS_mid",R$2)</f>
        <v>154.5908</v>
      </c>
      <c r="S44">
        <f ca="1">_xll.ciqfunctions.udf.CIQ($B44,"IQ_CDS_mid",S$2)</f>
        <v>185.76349999999999</v>
      </c>
      <c r="T44">
        <f ca="1">C44-H44</f>
        <v>4.8234999999999957</v>
      </c>
      <c r="U44">
        <f ca="1">C44-M44</f>
        <v>5.1346999999999809</v>
      </c>
      <c r="V44">
        <f ca="1">C44-Q44</f>
        <v>10.031599999999983</v>
      </c>
      <c r="W44">
        <f ca="1">C44-R44</f>
        <v>-20.177600000000012</v>
      </c>
      <c r="X44">
        <f t="shared" ca="1" si="13"/>
        <v>-51.350300000000004</v>
      </c>
    </row>
    <row r="45" spans="1:24">
      <c r="X45">
        <f t="shared" si="13"/>
        <v>0</v>
      </c>
    </row>
    <row r="46" spans="1:24">
      <c r="X46">
        <f t="shared" si="13"/>
        <v>0</v>
      </c>
    </row>
    <row r="47" spans="1:24" ht="15.5">
      <c r="A47" s="21" t="s">
        <v>11</v>
      </c>
      <c r="X47">
        <f t="shared" si="13"/>
        <v>0</v>
      </c>
    </row>
    <row r="48" spans="1:24" ht="15.5">
      <c r="A48" s="22" t="s">
        <v>210</v>
      </c>
      <c r="B48" s="19" t="s">
        <v>211</v>
      </c>
      <c r="C48">
        <f ca="1">_xll.ciqfunctions.udf.CIQ($B48,"IQ_CDS_mid",C$2)</f>
        <v>53.986800000000002</v>
      </c>
      <c r="D48">
        <f ca="1">_xll.ciqfunctions.udf.CIQ($B48,"IQ_CDS_mid",D$2)</f>
        <v>53.986800000000002</v>
      </c>
      <c r="E48">
        <f ca="1">_xll.ciqfunctions.udf.CIQ($B48,"IQ_CDS_mid",E$2)</f>
        <v>53.986800000000002</v>
      </c>
      <c r="F48">
        <f ca="1">_xll.ciqfunctions.udf.CIQ($B48,"IQ_CDS_mid",F$2)</f>
        <v>53.986800000000002</v>
      </c>
      <c r="G48">
        <f ca="1">_xll.ciqfunctions.udf.CIQ($B48,"IQ_CDS_mid",G$2)</f>
        <v>53.458599999999997</v>
      </c>
      <c r="H48">
        <f ca="1">_xll.ciqfunctions.udf.CIQ($B48,"IQ_CDS_mid",H$2)</f>
        <v>52.753999999999998</v>
      </c>
      <c r="I48">
        <f ca="1">_xll.ciqfunctions.udf.CIQ($B48,"IQ_CDS_mid",I$2)</f>
        <v>52.128399999999999</v>
      </c>
      <c r="J48">
        <f ca="1">_xll.ciqfunctions.udf.CIQ($B48,"IQ_CDS_mid",J$2)</f>
        <v>53.148000000000003</v>
      </c>
      <c r="K48">
        <f ca="1">_xll.ciqfunctions.udf.CIQ($B48,"IQ_CDS_mid",K$2)</f>
        <v>53.669199999999996</v>
      </c>
      <c r="L48">
        <f ca="1">_xll.ciqfunctions.udf.CIQ($B48,"IQ_CDS_mid",L$2)</f>
        <v>53.669199999999996</v>
      </c>
      <c r="M48">
        <f ca="1">_xll.ciqfunctions.udf.CIQ($B48,"IQ_CDS_mid",M$2)</f>
        <v>53.669199999999996</v>
      </c>
      <c r="N48">
        <f ca="1">_xll.ciqfunctions.udf.CIQ($B48,"IQ_CDS_mid",N$2)</f>
        <v>53.1967</v>
      </c>
      <c r="O48">
        <f ca="1">_xll.ciqfunctions.udf.CIQ($B48,"IQ_CDS_mid",O$2)</f>
        <v>52.934600000000003</v>
      </c>
      <c r="P48">
        <f ca="1">_xll.ciqfunctions.udf.CIQ($B48,"IQ_CDS_mid",P$2)</f>
        <v>52.801600000000001</v>
      </c>
      <c r="Q48">
        <f ca="1">_xll.ciqfunctions.udf.CIQ($B48,"IQ_CDS_mid",Q$2)</f>
        <v>52.052100000000003</v>
      </c>
      <c r="R48">
        <f ca="1">_xll.ciqfunctions.udf.CIQ($B48,"IQ_CDS_mid",R$2)</f>
        <v>57.756100000000004</v>
      </c>
      <c r="S48">
        <f ca="1">_xll.ciqfunctions.udf.CIQ($B48,"IQ_CDS_mid",S$2)</f>
        <v>53.530099999999997</v>
      </c>
      <c r="T48">
        <f t="shared" ref="T48:T54" ca="1" si="14">C48-H48</f>
        <v>1.2328000000000046</v>
      </c>
      <c r="U48">
        <f t="shared" ref="U48:U54" ca="1" si="15">C48-M48</f>
        <v>0.31760000000000588</v>
      </c>
      <c r="V48">
        <f t="shared" ref="V48:V54" ca="1" si="16">C48-Q48</f>
        <v>1.9346999999999994</v>
      </c>
      <c r="W48">
        <f t="shared" ref="W48:W54" ca="1" si="17">C48-R48</f>
        <v>-3.7693000000000012</v>
      </c>
      <c r="X48">
        <f t="shared" ca="1" si="13"/>
        <v>0.45670000000000499</v>
      </c>
    </row>
    <row r="49" spans="1:24" ht="15.5">
      <c r="A49" s="22" t="s">
        <v>212</v>
      </c>
      <c r="B49" s="19" t="s">
        <v>213</v>
      </c>
      <c r="C49">
        <f ca="1">_xll.ciqfunctions.udf.CIQ($B49,"IQ_CDS_mid",C$2)</f>
        <v>56.415900000000001</v>
      </c>
      <c r="D49">
        <f ca="1">_xll.ciqfunctions.udf.CIQ($B49,"IQ_CDS_mid",D$2)</f>
        <v>56.415900000000001</v>
      </c>
      <c r="E49">
        <f ca="1">_xll.ciqfunctions.udf.CIQ($B49,"IQ_CDS_mid",E$2)</f>
        <v>56.415900000000001</v>
      </c>
      <c r="F49">
        <f ca="1">_xll.ciqfunctions.udf.CIQ($B49,"IQ_CDS_mid",F$2)</f>
        <v>56.415900000000001</v>
      </c>
      <c r="G49">
        <f ca="1">_xll.ciqfunctions.udf.CIQ($B49,"IQ_CDS_mid",G$2)</f>
        <v>55.957700000000003</v>
      </c>
      <c r="H49">
        <f ca="1">_xll.ciqfunctions.udf.CIQ($B49,"IQ_CDS_mid",H$2)</f>
        <v>54.962800000000001</v>
      </c>
      <c r="I49">
        <f ca="1">_xll.ciqfunctions.udf.CIQ($B49,"IQ_CDS_mid",I$2)</f>
        <v>55.371400000000001</v>
      </c>
      <c r="J49">
        <f ca="1">_xll.ciqfunctions.udf.CIQ($B49,"IQ_CDS_mid",J$2)</f>
        <v>55.431800000000003</v>
      </c>
      <c r="K49">
        <f ca="1">_xll.ciqfunctions.udf.CIQ($B49,"IQ_CDS_mid",K$2)</f>
        <v>55.617600000000003</v>
      </c>
      <c r="L49">
        <f ca="1">_xll.ciqfunctions.udf.CIQ($B49,"IQ_CDS_mid",L$2)</f>
        <v>55.617600000000003</v>
      </c>
      <c r="M49">
        <f ca="1">_xll.ciqfunctions.udf.CIQ($B49,"IQ_CDS_mid",M$2)</f>
        <v>55.617600000000003</v>
      </c>
      <c r="N49">
        <f ca="1">_xll.ciqfunctions.udf.CIQ($B49,"IQ_CDS_mid",N$2)</f>
        <v>54.933399999999999</v>
      </c>
      <c r="O49">
        <f ca="1">_xll.ciqfunctions.udf.CIQ($B49,"IQ_CDS_mid",O$2)</f>
        <v>54.99</v>
      </c>
      <c r="P49">
        <f ca="1">_xll.ciqfunctions.udf.CIQ($B49,"IQ_CDS_mid",P$2)</f>
        <v>54.603999999999999</v>
      </c>
      <c r="Q49">
        <f ca="1">_xll.ciqfunctions.udf.CIQ($B49,"IQ_CDS_mid",Q$2)</f>
        <v>54.226500000000001</v>
      </c>
      <c r="R49">
        <f ca="1">_xll.ciqfunctions.udf.CIQ($B49,"IQ_CDS_mid",R$2)</f>
        <v>58.875</v>
      </c>
      <c r="S49">
        <f ca="1">_xll.ciqfunctions.udf.CIQ($B49,"IQ_CDS_mid",S$2)</f>
        <v>52.9114</v>
      </c>
      <c r="T49">
        <f t="shared" ca="1" si="14"/>
        <v>1.4530999999999992</v>
      </c>
      <c r="U49">
        <f t="shared" ca="1" si="15"/>
        <v>0.79829999999999757</v>
      </c>
      <c r="V49">
        <f t="shared" ca="1" si="16"/>
        <v>2.1893999999999991</v>
      </c>
      <c r="W49">
        <f t="shared" ca="1" si="17"/>
        <v>-2.4590999999999994</v>
      </c>
      <c r="X49">
        <f t="shared" ca="1" si="13"/>
        <v>3.5045000000000002</v>
      </c>
    </row>
    <row r="50" spans="1:24" ht="15.5">
      <c r="A50" s="22" t="s">
        <v>214</v>
      </c>
      <c r="B50" s="19" t="s">
        <v>215</v>
      </c>
      <c r="C50">
        <f ca="1">_xll.ciqfunctions.udf.CIQ($B50,"IQ_CDS_mid",C$2)</f>
        <v>41.005299999999998</v>
      </c>
      <c r="D50">
        <f ca="1">_xll.ciqfunctions.udf.CIQ($B50,"IQ_CDS_mid",D$2)</f>
        <v>41.005299999999998</v>
      </c>
      <c r="E50">
        <f ca="1">_xll.ciqfunctions.udf.CIQ($B50,"IQ_CDS_mid",E$2)</f>
        <v>41.005299999999998</v>
      </c>
      <c r="F50">
        <f ca="1">_xll.ciqfunctions.udf.CIQ($B50,"IQ_CDS_mid",F$2)</f>
        <v>41.005299999999998</v>
      </c>
      <c r="G50">
        <f ca="1">_xll.ciqfunctions.udf.CIQ($B50,"IQ_CDS_mid",G$2)</f>
        <v>41.085299999999997</v>
      </c>
      <c r="H50">
        <f ca="1">_xll.ciqfunctions.udf.CIQ($B50,"IQ_CDS_mid",H$2)</f>
        <v>40.6</v>
      </c>
      <c r="I50">
        <f ca="1">_xll.ciqfunctions.udf.CIQ($B50,"IQ_CDS_mid",I$2)</f>
        <v>40.859499999999997</v>
      </c>
      <c r="J50">
        <f ca="1">_xll.ciqfunctions.udf.CIQ($B50,"IQ_CDS_mid",J$2)</f>
        <v>40.800600000000003</v>
      </c>
      <c r="K50">
        <f ca="1">_xll.ciqfunctions.udf.CIQ($B50,"IQ_CDS_mid",K$2)</f>
        <v>40.803199999999997</v>
      </c>
      <c r="L50">
        <f ca="1">_xll.ciqfunctions.udf.CIQ($B50,"IQ_CDS_mid",L$2)</f>
        <v>40.803199999999997</v>
      </c>
      <c r="M50">
        <f ca="1">_xll.ciqfunctions.udf.CIQ($B50,"IQ_CDS_mid",M$2)</f>
        <v>40.803199999999997</v>
      </c>
      <c r="N50">
        <f ca="1">_xll.ciqfunctions.udf.CIQ($B50,"IQ_CDS_mid",N$2)</f>
        <v>40.466700000000003</v>
      </c>
      <c r="O50">
        <f ca="1">_xll.ciqfunctions.udf.CIQ($B50,"IQ_CDS_mid",O$2)</f>
        <v>40.655299999999997</v>
      </c>
      <c r="P50">
        <f ca="1">_xll.ciqfunctions.udf.CIQ($B50,"IQ_CDS_mid",P$2)</f>
        <v>40.584200000000003</v>
      </c>
      <c r="Q50">
        <f ca="1">_xll.ciqfunctions.udf.CIQ($B50,"IQ_CDS_mid",Q$2)</f>
        <v>40.046799999999998</v>
      </c>
      <c r="R50">
        <f ca="1">_xll.ciqfunctions.udf.CIQ($B50,"IQ_CDS_mid",R$2)</f>
        <v>41.496899999999997</v>
      </c>
      <c r="S50">
        <f ca="1">_xll.ciqfunctions.udf.CIQ($B50,"IQ_CDS_mid",S$2)</f>
        <v>40.014899999999997</v>
      </c>
      <c r="T50">
        <f t="shared" ca="1" si="14"/>
        <v>0.40529999999999688</v>
      </c>
      <c r="U50">
        <f t="shared" ca="1" si="15"/>
        <v>0.2021000000000015</v>
      </c>
      <c r="V50">
        <f t="shared" ca="1" si="16"/>
        <v>0.9585000000000008</v>
      </c>
      <c r="W50">
        <f t="shared" ca="1" si="17"/>
        <v>-0.49159999999999826</v>
      </c>
      <c r="X50">
        <f t="shared" ca="1" si="13"/>
        <v>0.99040000000000106</v>
      </c>
    </row>
    <row r="51" spans="1:24" ht="15.5">
      <c r="A51" s="22" t="s">
        <v>216</v>
      </c>
      <c r="B51" s="19" t="s">
        <v>217</v>
      </c>
      <c r="C51">
        <f ca="1">_xll.ciqfunctions.udf.CIQ($B51,"IQ_CDS_mid",C$2)</f>
        <v>55.823700000000002</v>
      </c>
      <c r="D51">
        <f ca="1">_xll.ciqfunctions.udf.CIQ($B51,"IQ_CDS_mid",D$2)</f>
        <v>55.823700000000002</v>
      </c>
      <c r="E51">
        <f ca="1">_xll.ciqfunctions.udf.CIQ($B51,"IQ_CDS_mid",E$2)</f>
        <v>55.823700000000002</v>
      </c>
      <c r="F51">
        <f ca="1">_xll.ciqfunctions.udf.CIQ($B51,"IQ_CDS_mid",F$2)</f>
        <v>55.823700000000002</v>
      </c>
      <c r="G51">
        <f ca="1">_xll.ciqfunctions.udf.CIQ($B51,"IQ_CDS_mid",G$2)</f>
        <v>55.764400000000002</v>
      </c>
      <c r="H51">
        <f ca="1">_xll.ciqfunctions.udf.CIQ($B51,"IQ_CDS_mid",H$2)</f>
        <v>54.8</v>
      </c>
      <c r="I51">
        <f ca="1">_xll.ciqfunctions.udf.CIQ($B51,"IQ_CDS_mid",I$2)</f>
        <v>55.2</v>
      </c>
      <c r="J51">
        <f ca="1">_xll.ciqfunctions.udf.CIQ($B51,"IQ_CDS_mid",J$2)</f>
        <v>55.226500000000001</v>
      </c>
      <c r="K51">
        <f ca="1">_xll.ciqfunctions.udf.CIQ($B51,"IQ_CDS_mid",K$2)</f>
        <v>55.264099999999999</v>
      </c>
      <c r="L51">
        <f ca="1">_xll.ciqfunctions.udf.CIQ($B51,"IQ_CDS_mid",L$2)</f>
        <v>55.264099999999999</v>
      </c>
      <c r="M51">
        <f ca="1">_xll.ciqfunctions.udf.CIQ($B51,"IQ_CDS_mid",M$2)</f>
        <v>55.264099999999999</v>
      </c>
      <c r="N51">
        <f ca="1">_xll.ciqfunctions.udf.CIQ($B51,"IQ_CDS_mid",N$2)</f>
        <v>55.012</v>
      </c>
      <c r="O51">
        <f ca="1">_xll.ciqfunctions.udf.CIQ($B51,"IQ_CDS_mid",O$2)</f>
        <v>54.687399999999997</v>
      </c>
      <c r="P51">
        <f ca="1">_xll.ciqfunctions.udf.CIQ($B51,"IQ_CDS_mid",P$2)</f>
        <v>54.431199999999997</v>
      </c>
      <c r="Q51">
        <f ca="1">_xll.ciqfunctions.udf.CIQ($B51,"IQ_CDS_mid",Q$2)</f>
        <v>54.126199999999997</v>
      </c>
      <c r="R51">
        <f ca="1">_xll.ciqfunctions.udf.CIQ($B51,"IQ_CDS_mid",R$2)</f>
        <v>58.1</v>
      </c>
      <c r="S51">
        <f ca="1">_xll.ciqfunctions.udf.CIQ($B51,"IQ_CDS_mid",S$2)</f>
        <v>57.432299999999998</v>
      </c>
      <c r="T51">
        <f t="shared" ca="1" si="14"/>
        <v>1.0237000000000052</v>
      </c>
      <c r="U51">
        <f t="shared" ca="1" si="15"/>
        <v>0.55960000000000321</v>
      </c>
      <c r="V51">
        <f t="shared" ca="1" si="16"/>
        <v>1.6975000000000051</v>
      </c>
      <c r="W51">
        <f t="shared" ca="1" si="17"/>
        <v>-2.2762999999999991</v>
      </c>
      <c r="X51">
        <f t="shared" ca="1" si="13"/>
        <v>-1.6085999999999956</v>
      </c>
    </row>
    <row r="52" spans="1:24" ht="15.5">
      <c r="A52" s="22" t="s">
        <v>218</v>
      </c>
      <c r="B52" s="19" t="s">
        <v>219</v>
      </c>
      <c r="C52">
        <f ca="1">_xll.ciqfunctions.udf.CIQ($B52,"IQ_CDS_mid",C$2)</f>
        <v>59.418599999999998</v>
      </c>
      <c r="D52">
        <f ca="1">_xll.ciqfunctions.udf.CIQ($B52,"IQ_CDS_mid",D$2)</f>
        <v>59.418599999999998</v>
      </c>
      <c r="E52">
        <f ca="1">_xll.ciqfunctions.udf.CIQ($B52,"IQ_CDS_mid",E$2)</f>
        <v>59.418599999999998</v>
      </c>
      <c r="F52">
        <f ca="1">_xll.ciqfunctions.udf.CIQ($B52,"IQ_CDS_mid",F$2)</f>
        <v>59.418599999999998</v>
      </c>
      <c r="G52">
        <f ca="1">_xll.ciqfunctions.udf.CIQ($B52,"IQ_CDS_mid",G$2)</f>
        <v>58.413899999999998</v>
      </c>
      <c r="H52">
        <f ca="1">_xll.ciqfunctions.udf.CIQ($B52,"IQ_CDS_mid",H$2)</f>
        <v>57.467300000000002</v>
      </c>
      <c r="I52">
        <f ca="1">_xll.ciqfunctions.udf.CIQ($B52,"IQ_CDS_mid",I$2)</f>
        <v>57.930500000000002</v>
      </c>
      <c r="J52">
        <f ca="1">_xll.ciqfunctions.udf.CIQ($B52,"IQ_CDS_mid",J$2)</f>
        <v>58.177799999999998</v>
      </c>
      <c r="K52">
        <f ca="1">_xll.ciqfunctions.udf.CIQ($B52,"IQ_CDS_mid",K$2)</f>
        <v>58.314</v>
      </c>
      <c r="L52">
        <f ca="1">_xll.ciqfunctions.udf.CIQ($B52,"IQ_CDS_mid",L$2)</f>
        <v>58.314</v>
      </c>
      <c r="M52">
        <f ca="1">_xll.ciqfunctions.udf.CIQ($B52,"IQ_CDS_mid",M$2)</f>
        <v>58.314</v>
      </c>
      <c r="N52">
        <f ca="1">_xll.ciqfunctions.udf.CIQ($B52,"IQ_CDS_mid",N$2)</f>
        <v>57.456099999999999</v>
      </c>
      <c r="O52">
        <f ca="1">_xll.ciqfunctions.udf.CIQ($B52,"IQ_CDS_mid",O$2)</f>
        <v>57.236800000000002</v>
      </c>
      <c r="P52">
        <f ca="1">_xll.ciqfunctions.udf.CIQ($B52,"IQ_CDS_mid",P$2)</f>
        <v>56.741100000000003</v>
      </c>
      <c r="Q52">
        <f ca="1">_xll.ciqfunctions.udf.CIQ($B52,"IQ_CDS_mid",Q$2)</f>
        <v>55.769300000000001</v>
      </c>
      <c r="R52">
        <f ca="1">_xll.ciqfunctions.udf.CIQ($B52,"IQ_CDS_mid",R$2)</f>
        <v>59.5</v>
      </c>
      <c r="S52">
        <f ca="1">_xll.ciqfunctions.udf.CIQ($B52,"IQ_CDS_mid",S$2)</f>
        <v>54.5242</v>
      </c>
      <c r="T52">
        <f t="shared" ca="1" si="14"/>
        <v>1.9512999999999963</v>
      </c>
      <c r="U52">
        <f t="shared" ca="1" si="15"/>
        <v>1.1045999999999978</v>
      </c>
      <c r="V52">
        <f t="shared" ca="1" si="16"/>
        <v>3.6492999999999967</v>
      </c>
      <c r="W52">
        <f t="shared" ca="1" si="17"/>
        <v>-8.1400000000002137E-2</v>
      </c>
      <c r="X52">
        <f t="shared" ca="1" si="13"/>
        <v>4.8943999999999974</v>
      </c>
    </row>
    <row r="53" spans="1:24" ht="15.5">
      <c r="A53" s="22" t="s">
        <v>220</v>
      </c>
      <c r="B53" s="19" t="s">
        <v>221</v>
      </c>
      <c r="C53">
        <f ca="1">_xll.ciqfunctions.udf.CIQ($B53,"IQ_CDS_mid",C$2)</f>
        <v>49.935400000000001</v>
      </c>
      <c r="D53">
        <f ca="1">_xll.ciqfunctions.udf.CIQ($B53,"IQ_CDS_mid",D$2)</f>
        <v>49.935400000000001</v>
      </c>
      <c r="E53">
        <f ca="1">_xll.ciqfunctions.udf.CIQ($B53,"IQ_CDS_mid",E$2)</f>
        <v>49.935400000000001</v>
      </c>
      <c r="F53">
        <f ca="1">_xll.ciqfunctions.udf.CIQ($B53,"IQ_CDS_mid",F$2)</f>
        <v>49.935400000000001</v>
      </c>
      <c r="G53">
        <f ca="1">_xll.ciqfunctions.udf.CIQ($B53,"IQ_CDS_mid",G$2)</f>
        <v>49.769300000000001</v>
      </c>
      <c r="H53">
        <f ca="1">_xll.ciqfunctions.udf.CIQ($B53,"IQ_CDS_mid",H$2)</f>
        <v>49.133800000000001</v>
      </c>
      <c r="I53">
        <f ca="1">_xll.ciqfunctions.udf.CIQ($B53,"IQ_CDS_mid",I$2)</f>
        <v>49.003</v>
      </c>
      <c r="J53">
        <f ca="1">_xll.ciqfunctions.udf.CIQ($B53,"IQ_CDS_mid",J$2)</f>
        <v>49.430999999999997</v>
      </c>
      <c r="K53">
        <f ca="1">_xll.ciqfunctions.udf.CIQ($B53,"IQ_CDS_mid",K$2)</f>
        <v>49.766399999999997</v>
      </c>
      <c r="L53">
        <f ca="1">_xll.ciqfunctions.udf.CIQ($B53,"IQ_CDS_mid",L$2)</f>
        <v>49.766399999999997</v>
      </c>
      <c r="M53">
        <f ca="1">_xll.ciqfunctions.udf.CIQ($B53,"IQ_CDS_mid",M$2)</f>
        <v>49.766399999999997</v>
      </c>
      <c r="N53">
        <f ca="1">_xll.ciqfunctions.udf.CIQ($B53,"IQ_CDS_mid",N$2)</f>
        <v>49.697600000000001</v>
      </c>
      <c r="O53">
        <f ca="1">_xll.ciqfunctions.udf.CIQ($B53,"IQ_CDS_mid",O$2)</f>
        <v>49.7881</v>
      </c>
      <c r="P53">
        <f ca="1">_xll.ciqfunctions.udf.CIQ($B53,"IQ_CDS_mid",P$2)</f>
        <v>49.850200000000001</v>
      </c>
      <c r="Q53">
        <f ca="1">_xll.ciqfunctions.udf.CIQ($B53,"IQ_CDS_mid",Q$2)</f>
        <v>49.295900000000003</v>
      </c>
      <c r="R53">
        <f ca="1">_xll.ciqfunctions.udf.CIQ($B53,"IQ_CDS_mid",R$2)</f>
        <v>54.3658</v>
      </c>
      <c r="S53">
        <f ca="1">_xll.ciqfunctions.udf.CIQ($B53,"IQ_CDS_mid",S$2)</f>
        <v>48.0443</v>
      </c>
      <c r="T53">
        <f t="shared" ca="1" si="14"/>
        <v>0.80160000000000053</v>
      </c>
      <c r="U53">
        <f t="shared" ca="1" si="15"/>
        <v>0.16900000000000404</v>
      </c>
      <c r="V53">
        <f t="shared" ca="1" si="16"/>
        <v>0.63949999999999818</v>
      </c>
      <c r="W53">
        <f t="shared" ca="1" si="17"/>
        <v>-4.4303999999999988</v>
      </c>
      <c r="X53">
        <f t="shared" ca="1" si="13"/>
        <v>1.8911000000000016</v>
      </c>
    </row>
    <row r="54" spans="1:24" ht="15.5">
      <c r="A54" s="22" t="s">
        <v>222</v>
      </c>
      <c r="B54" s="19" t="s">
        <v>223</v>
      </c>
      <c r="C54">
        <f ca="1">_xll.ciqfunctions.udf.CIQ($B54,"IQ_CDS_mid",C$2)</f>
        <v>52.4938</v>
      </c>
      <c r="D54">
        <f ca="1">_xll.ciqfunctions.udf.CIQ($B54,"IQ_CDS_mid",D$2)</f>
        <v>52.4938</v>
      </c>
      <c r="E54">
        <f ca="1">_xll.ciqfunctions.udf.CIQ($B54,"IQ_CDS_mid",E$2)</f>
        <v>52.4938</v>
      </c>
      <c r="F54">
        <f ca="1">_xll.ciqfunctions.udf.CIQ($B54,"IQ_CDS_mid",F$2)</f>
        <v>52.4938</v>
      </c>
      <c r="G54">
        <f ca="1">_xll.ciqfunctions.udf.CIQ($B54,"IQ_CDS_mid",G$2)</f>
        <v>52.120199999999997</v>
      </c>
      <c r="H54">
        <f ca="1">_xll.ciqfunctions.udf.CIQ($B54,"IQ_CDS_mid",H$2)</f>
        <v>51.539200000000001</v>
      </c>
      <c r="I54">
        <f ca="1">_xll.ciqfunctions.udf.CIQ($B54,"IQ_CDS_mid",I$2)</f>
        <v>52.011600000000001</v>
      </c>
      <c r="J54">
        <f ca="1">_xll.ciqfunctions.udf.CIQ($B54,"IQ_CDS_mid",J$2)</f>
        <v>52.311799999999998</v>
      </c>
      <c r="K54">
        <f ca="1">_xll.ciqfunctions.udf.CIQ($B54,"IQ_CDS_mid",K$2)</f>
        <v>51.447800000000001</v>
      </c>
      <c r="L54">
        <f ca="1">_xll.ciqfunctions.udf.CIQ($B54,"IQ_CDS_mid",L$2)</f>
        <v>51.447800000000001</v>
      </c>
      <c r="M54">
        <f ca="1">_xll.ciqfunctions.udf.CIQ($B54,"IQ_CDS_mid",M$2)</f>
        <v>51.447800000000001</v>
      </c>
      <c r="N54">
        <f ca="1">_xll.ciqfunctions.udf.CIQ($B54,"IQ_CDS_mid",N$2)</f>
        <v>51.436399999999999</v>
      </c>
      <c r="O54">
        <f ca="1">_xll.ciqfunctions.udf.CIQ($B54,"IQ_CDS_mid",O$2)</f>
        <v>51.862000000000002</v>
      </c>
      <c r="P54">
        <f ca="1">_xll.ciqfunctions.udf.CIQ($B54,"IQ_CDS_mid",P$2)</f>
        <v>52.4953</v>
      </c>
      <c r="Q54">
        <f ca="1">_xll.ciqfunctions.udf.CIQ($B54,"IQ_CDS_mid",Q$2)</f>
        <v>52.8553</v>
      </c>
      <c r="R54">
        <f ca="1">_xll.ciqfunctions.udf.CIQ($B54,"IQ_CDS_mid",R$2)</f>
        <v>55.3523</v>
      </c>
      <c r="S54">
        <f ca="1">_xll.ciqfunctions.udf.CIQ($B54,"IQ_CDS_mid",S$2)</f>
        <v>48.7241</v>
      </c>
      <c r="T54">
        <f t="shared" ca="1" si="14"/>
        <v>0.95459999999999923</v>
      </c>
      <c r="U54">
        <f t="shared" ca="1" si="15"/>
        <v>1.0459999999999994</v>
      </c>
      <c r="V54">
        <f t="shared" ca="1" si="16"/>
        <v>-0.36149999999999949</v>
      </c>
      <c r="W54">
        <f t="shared" ca="1" si="17"/>
        <v>-2.8584999999999994</v>
      </c>
      <c r="X54">
        <f t="shared" ca="1" si="13"/>
        <v>3.7697000000000003</v>
      </c>
    </row>
    <row r="55" spans="1:24" ht="15.5">
      <c r="A55" s="21" t="s">
        <v>20</v>
      </c>
      <c r="X55">
        <f t="shared" si="13"/>
        <v>0</v>
      </c>
    </row>
    <row r="56" spans="1:24" ht="15.5">
      <c r="A56" s="22" t="s">
        <v>224</v>
      </c>
      <c r="B56" s="19" t="s">
        <v>225</v>
      </c>
      <c r="C56">
        <f ca="1">_xll.ciqfunctions.udf.CIQ($B56,"IQ_CDS_mid",C$2)</f>
        <v>44.712000000000003</v>
      </c>
      <c r="D56">
        <f ca="1">_xll.ciqfunctions.udf.CIQ($B56,"IQ_CDS_mid",D$2)</f>
        <v>44.712000000000003</v>
      </c>
      <c r="E56">
        <f ca="1">_xll.ciqfunctions.udf.CIQ($B56,"IQ_CDS_mid",E$2)</f>
        <v>44.712000000000003</v>
      </c>
      <c r="F56">
        <f ca="1">_xll.ciqfunctions.udf.CIQ($B56,"IQ_CDS_mid",F$2)</f>
        <v>44.712000000000003</v>
      </c>
      <c r="G56">
        <f ca="1">_xll.ciqfunctions.udf.CIQ($B56,"IQ_CDS_mid",G$2)</f>
        <v>44.498699999999999</v>
      </c>
      <c r="H56">
        <f ca="1">_xll.ciqfunctions.udf.CIQ($B56,"IQ_CDS_mid",H$2)</f>
        <v>43.959699999999998</v>
      </c>
      <c r="I56">
        <f ca="1">_xll.ciqfunctions.udf.CIQ($B56,"IQ_CDS_mid",I$2)</f>
        <v>43.959600000000002</v>
      </c>
      <c r="J56">
        <f ca="1">_xll.ciqfunctions.udf.CIQ($B56,"IQ_CDS_mid",J$2)</f>
        <v>43.866</v>
      </c>
      <c r="K56">
        <f ca="1">_xll.ciqfunctions.udf.CIQ($B56,"IQ_CDS_mid",K$2)</f>
        <v>43.5488</v>
      </c>
      <c r="L56">
        <f ca="1">_xll.ciqfunctions.udf.CIQ($B56,"IQ_CDS_mid",L$2)</f>
        <v>43.5488</v>
      </c>
      <c r="M56">
        <f ca="1">_xll.ciqfunctions.udf.CIQ($B56,"IQ_CDS_mid",M$2)</f>
        <v>43.5488</v>
      </c>
      <c r="N56">
        <f ca="1">_xll.ciqfunctions.udf.CIQ($B56,"IQ_CDS_mid",N$2)</f>
        <v>42.543799999999997</v>
      </c>
      <c r="O56">
        <f ca="1">_xll.ciqfunctions.udf.CIQ($B56,"IQ_CDS_mid",O$2)</f>
        <v>42.1143</v>
      </c>
      <c r="P56">
        <f ca="1">_xll.ciqfunctions.udf.CIQ($B56,"IQ_CDS_mid",P$2)</f>
        <v>42.162100000000002</v>
      </c>
      <c r="Q56">
        <f ca="1">_xll.ciqfunctions.udf.CIQ($B56,"IQ_CDS_mid",Q$2)</f>
        <v>41.708199999999998</v>
      </c>
      <c r="R56">
        <f ca="1">_xll.ciqfunctions.udf.CIQ($B56,"IQ_CDS_mid",R$2)</f>
        <v>41.432099999999998</v>
      </c>
      <c r="S56">
        <f ca="1">_xll.ciqfunctions.udf.CIQ($B56,"IQ_CDS_mid",S$2)</f>
        <v>41.567599999999999</v>
      </c>
      <c r="T56">
        <f ca="1">C56-H56</f>
        <v>0.7523000000000053</v>
      </c>
      <c r="U56">
        <f ca="1">C56-M56</f>
        <v>1.1632000000000033</v>
      </c>
      <c r="V56">
        <f ca="1">C56-Q56</f>
        <v>3.0038000000000054</v>
      </c>
      <c r="W56">
        <f ca="1">C56-R56</f>
        <v>3.2799000000000049</v>
      </c>
      <c r="X56">
        <f t="shared" ca="1" si="13"/>
        <v>3.1444000000000045</v>
      </c>
    </row>
    <row r="57" spans="1:24" ht="15.5">
      <c r="A57" s="22" t="s">
        <v>226</v>
      </c>
      <c r="B57" s="19" t="s">
        <v>227</v>
      </c>
      <c r="C57">
        <f ca="1">_xll.ciqfunctions.udf.CIQ($B57,"IQ_CDS_mid",C$2)</f>
        <v>36.635399999999997</v>
      </c>
      <c r="D57">
        <f ca="1">_xll.ciqfunctions.udf.CIQ($B57,"IQ_CDS_mid",D$2)</f>
        <v>36.635399999999997</v>
      </c>
      <c r="E57">
        <f ca="1">_xll.ciqfunctions.udf.CIQ($B57,"IQ_CDS_mid",E$2)</f>
        <v>36.635399999999997</v>
      </c>
      <c r="F57">
        <f ca="1">_xll.ciqfunctions.udf.CIQ($B57,"IQ_CDS_mid",F$2)</f>
        <v>36.635399999999997</v>
      </c>
      <c r="G57">
        <f ca="1">_xll.ciqfunctions.udf.CIQ($B57,"IQ_CDS_mid",G$2)</f>
        <v>36.427700000000002</v>
      </c>
      <c r="H57">
        <f ca="1">_xll.ciqfunctions.udf.CIQ($B57,"IQ_CDS_mid",H$2)</f>
        <v>36</v>
      </c>
      <c r="I57">
        <f ca="1">_xll.ciqfunctions.udf.CIQ($B57,"IQ_CDS_mid",I$2)</f>
        <v>35.580599999999997</v>
      </c>
      <c r="J57">
        <f ca="1">_xll.ciqfunctions.udf.CIQ($B57,"IQ_CDS_mid",J$2)</f>
        <v>35.32</v>
      </c>
      <c r="K57">
        <f ca="1">_xll.ciqfunctions.udf.CIQ($B57,"IQ_CDS_mid",K$2)</f>
        <v>35.233699999999999</v>
      </c>
      <c r="L57">
        <f ca="1">_xll.ciqfunctions.udf.CIQ($B57,"IQ_CDS_mid",L$2)</f>
        <v>35.233699999999999</v>
      </c>
      <c r="M57">
        <f ca="1">_xll.ciqfunctions.udf.CIQ($B57,"IQ_CDS_mid",M$2)</f>
        <v>35.233699999999999</v>
      </c>
      <c r="N57">
        <f ca="1">_xll.ciqfunctions.udf.CIQ($B57,"IQ_CDS_mid",N$2)</f>
        <v>35.06</v>
      </c>
      <c r="O57">
        <f ca="1">_xll.ciqfunctions.udf.CIQ($B57,"IQ_CDS_mid",O$2)</f>
        <v>34.434600000000003</v>
      </c>
      <c r="P57">
        <f ca="1">_xll.ciqfunctions.udf.CIQ($B57,"IQ_CDS_mid",P$2)</f>
        <v>34.1</v>
      </c>
      <c r="Q57">
        <f ca="1">_xll.ciqfunctions.udf.CIQ($B57,"IQ_CDS_mid",Q$2)</f>
        <v>33.725000000000001</v>
      </c>
      <c r="R57">
        <f ca="1">_xll.ciqfunctions.udf.CIQ($B57,"IQ_CDS_mid",R$2)</f>
        <v>35.357100000000003</v>
      </c>
      <c r="S57">
        <f ca="1">_xll.ciqfunctions.udf.CIQ($B57,"IQ_CDS_mid",S$2)</f>
        <v>37.838299999999997</v>
      </c>
      <c r="T57">
        <f ca="1">C57-H57</f>
        <v>0.63539999999999708</v>
      </c>
      <c r="U57">
        <f ca="1">C57-M57</f>
        <v>1.4016999999999982</v>
      </c>
      <c r="V57">
        <f ca="1">C57-Q57</f>
        <v>2.9103999999999957</v>
      </c>
      <c r="W57">
        <f ca="1">C57-R57</f>
        <v>1.2782999999999944</v>
      </c>
      <c r="X57">
        <f t="shared" ca="1" si="13"/>
        <v>-1.2028999999999996</v>
      </c>
    </row>
    <row r="58" spans="1:24" ht="15.5">
      <c r="A58" s="22" t="s">
        <v>228</v>
      </c>
      <c r="B58" s="19" t="s">
        <v>229</v>
      </c>
      <c r="C58">
        <f ca="1">_xll.ciqfunctions.udf.CIQ($B58,"IQ_CDS_mid",C$2)</f>
        <v>45.578400000000002</v>
      </c>
      <c r="D58">
        <f ca="1">_xll.ciqfunctions.udf.CIQ($B58,"IQ_CDS_mid",D$2)</f>
        <v>45.578400000000002</v>
      </c>
      <c r="E58">
        <f ca="1">_xll.ciqfunctions.udf.CIQ($B58,"IQ_CDS_mid",E$2)</f>
        <v>45.578400000000002</v>
      </c>
      <c r="F58">
        <f ca="1">_xll.ciqfunctions.udf.CIQ($B58,"IQ_CDS_mid",F$2)</f>
        <v>45.578400000000002</v>
      </c>
      <c r="G58">
        <f ca="1">_xll.ciqfunctions.udf.CIQ($B58,"IQ_CDS_mid",G$2)</f>
        <v>45.462200000000003</v>
      </c>
      <c r="H58">
        <f ca="1">_xll.ciqfunctions.udf.CIQ($B58,"IQ_CDS_mid",H$2)</f>
        <v>44.748600000000003</v>
      </c>
      <c r="I58">
        <f ca="1">_xll.ciqfunctions.udf.CIQ($B58,"IQ_CDS_mid",I$2)</f>
        <v>44.74</v>
      </c>
      <c r="J58">
        <f ca="1">_xll.ciqfunctions.udf.CIQ($B58,"IQ_CDS_mid",J$2)</f>
        <v>44.251100000000001</v>
      </c>
      <c r="K58">
        <f ca="1">_xll.ciqfunctions.udf.CIQ($B58,"IQ_CDS_mid",K$2)</f>
        <v>43.881100000000004</v>
      </c>
      <c r="L58">
        <f ca="1">_xll.ciqfunctions.udf.CIQ($B58,"IQ_CDS_mid",L$2)</f>
        <v>43.881100000000004</v>
      </c>
      <c r="M58">
        <f ca="1">_xll.ciqfunctions.udf.CIQ($B58,"IQ_CDS_mid",M$2)</f>
        <v>43.881100000000004</v>
      </c>
      <c r="N58">
        <f ca="1">_xll.ciqfunctions.udf.CIQ($B58,"IQ_CDS_mid",N$2)</f>
        <v>43.142200000000003</v>
      </c>
      <c r="O58">
        <f ca="1">_xll.ciqfunctions.udf.CIQ($B58,"IQ_CDS_mid",O$2)</f>
        <v>42.128900000000002</v>
      </c>
      <c r="P58">
        <f ca="1">_xll.ciqfunctions.udf.CIQ($B58,"IQ_CDS_mid",P$2)</f>
        <v>42.4</v>
      </c>
      <c r="Q58">
        <f ca="1">_xll.ciqfunctions.udf.CIQ($B58,"IQ_CDS_mid",Q$2)</f>
        <v>41.86</v>
      </c>
      <c r="R58">
        <f ca="1">_xll.ciqfunctions.udf.CIQ($B58,"IQ_CDS_mid",R$2)</f>
        <v>44.704999999999998</v>
      </c>
      <c r="S58">
        <f ca="1">_xll.ciqfunctions.udf.CIQ($B58,"IQ_CDS_mid",S$2)</f>
        <v>46.034700000000001</v>
      </c>
      <c r="T58">
        <f ca="1">C58-H58</f>
        <v>0.82979999999999876</v>
      </c>
      <c r="U58">
        <f ca="1">C58-M58</f>
        <v>1.6972999999999985</v>
      </c>
      <c r="V58">
        <f ca="1">C58-Q58</f>
        <v>3.7184000000000026</v>
      </c>
      <c r="W58">
        <f ca="1">C58-R58</f>
        <v>0.87340000000000373</v>
      </c>
      <c r="X58">
        <f t="shared" ca="1" si="13"/>
        <v>-0.45629999999999882</v>
      </c>
    </row>
    <row r="59" spans="1:24" ht="15.5">
      <c r="A59" s="21" t="s">
        <v>37</v>
      </c>
      <c r="X59">
        <f t="shared" si="13"/>
        <v>0</v>
      </c>
    </row>
    <row r="60" spans="1:24" ht="15.5">
      <c r="A60" s="22" t="s">
        <v>230</v>
      </c>
      <c r="B60" s="19" t="s">
        <v>231</v>
      </c>
      <c r="C60">
        <f ca="1">_xll.ciqfunctions.udf.CIQ($B60,"IQ_CDS_mid",C$2)</f>
        <v>48.299700000000001</v>
      </c>
      <c r="D60">
        <f ca="1">_xll.ciqfunctions.udf.CIQ($B60,"IQ_CDS_mid",D$2)</f>
        <v>48.299700000000001</v>
      </c>
      <c r="E60">
        <f ca="1">_xll.ciqfunctions.udf.CIQ($B60,"IQ_CDS_mid",E$2)</f>
        <v>48.299700000000001</v>
      </c>
      <c r="F60">
        <f ca="1">_xll.ciqfunctions.udf.CIQ($B60,"IQ_CDS_mid",F$2)</f>
        <v>48.299700000000001</v>
      </c>
      <c r="G60">
        <f ca="1">_xll.ciqfunctions.udf.CIQ($B60,"IQ_CDS_mid",G$2)</f>
        <v>48.071399999999997</v>
      </c>
      <c r="H60">
        <f ca="1">_xll.ciqfunctions.udf.CIQ($B60,"IQ_CDS_mid",H$2)</f>
        <v>46.984099999999998</v>
      </c>
      <c r="I60">
        <f ca="1">_xll.ciqfunctions.udf.CIQ($B60,"IQ_CDS_mid",I$2)</f>
        <v>47.017400000000002</v>
      </c>
      <c r="J60">
        <f ca="1">_xll.ciqfunctions.udf.CIQ($B60,"IQ_CDS_mid",J$2)</f>
        <v>47.860199999999999</v>
      </c>
      <c r="K60">
        <f ca="1">_xll.ciqfunctions.udf.CIQ($B60,"IQ_CDS_mid",K$2)</f>
        <v>47.959400000000002</v>
      </c>
      <c r="L60">
        <f ca="1">_xll.ciqfunctions.udf.CIQ($B60,"IQ_CDS_mid",L$2)</f>
        <v>47.959400000000002</v>
      </c>
      <c r="M60">
        <f ca="1">_xll.ciqfunctions.udf.CIQ($B60,"IQ_CDS_mid",M$2)</f>
        <v>47.959400000000002</v>
      </c>
      <c r="N60">
        <f ca="1">_xll.ciqfunctions.udf.CIQ($B60,"IQ_CDS_mid",N$2)</f>
        <v>47.282699999999998</v>
      </c>
      <c r="O60">
        <f ca="1">_xll.ciqfunctions.udf.CIQ($B60,"IQ_CDS_mid",O$2)</f>
        <v>47.254100000000001</v>
      </c>
      <c r="P60">
        <f ca="1">_xll.ciqfunctions.udf.CIQ($B60,"IQ_CDS_mid",P$2)</f>
        <v>47.4893</v>
      </c>
      <c r="Q60">
        <f ca="1">_xll.ciqfunctions.udf.CIQ($B60,"IQ_CDS_mid",Q$2)</f>
        <v>46.8643</v>
      </c>
      <c r="R60">
        <f ca="1">_xll.ciqfunctions.udf.CIQ($B60,"IQ_CDS_mid",R$2)</f>
        <v>55.879899999999999</v>
      </c>
      <c r="S60">
        <f ca="1">_xll.ciqfunctions.udf.CIQ($B60,"IQ_CDS_mid",S$2)</f>
        <v>47</v>
      </c>
      <c r="T60">
        <f ca="1">C60-H60</f>
        <v>1.3156000000000034</v>
      </c>
      <c r="U60">
        <f ca="1">C60-M60</f>
        <v>0.34029999999999916</v>
      </c>
      <c r="V60">
        <f ca="1">C60-Q60</f>
        <v>1.4354000000000013</v>
      </c>
      <c r="W60">
        <f ca="1">C60-R60</f>
        <v>-7.5801999999999978</v>
      </c>
      <c r="X60">
        <f t="shared" ca="1" si="13"/>
        <v>1.2997000000000014</v>
      </c>
    </row>
    <row r="61" spans="1:24" ht="15.5">
      <c r="A61" s="22" t="s">
        <v>232</v>
      </c>
      <c r="B61" s="19" t="s">
        <v>233</v>
      </c>
      <c r="C61">
        <f ca="1">_xll.ciqfunctions.udf.CIQ($B61,"IQ_CDS_mid",C$2)</f>
        <v>0</v>
      </c>
      <c r="D61">
        <f ca="1">_xll.ciqfunctions.udf.CIQ($B61,"IQ_CDS_mid",D$2)</f>
        <v>0</v>
      </c>
      <c r="E61">
        <f ca="1">_xll.ciqfunctions.udf.CIQ($B61,"IQ_CDS_mid",E$2)</f>
        <v>0</v>
      </c>
      <c r="F61">
        <f ca="1">_xll.ciqfunctions.udf.CIQ($B61,"IQ_CDS_mid",F$2)</f>
        <v>0</v>
      </c>
      <c r="G61">
        <f ca="1">_xll.ciqfunctions.udf.CIQ($B61,"IQ_CDS_mid",G$2)</f>
        <v>0</v>
      </c>
      <c r="H61">
        <f ca="1">_xll.ciqfunctions.udf.CIQ($B61,"IQ_CDS_mid",H$2)</f>
        <v>0</v>
      </c>
      <c r="I61">
        <f ca="1">_xll.ciqfunctions.udf.CIQ($B61,"IQ_CDS_mid",I$2)</f>
        <v>0</v>
      </c>
      <c r="J61">
        <f ca="1">_xll.ciqfunctions.udf.CIQ($B61,"IQ_CDS_mid",J$2)</f>
        <v>0</v>
      </c>
      <c r="K61">
        <f ca="1">_xll.ciqfunctions.udf.CIQ($B61,"IQ_CDS_mid",K$2)</f>
        <v>0</v>
      </c>
      <c r="L61">
        <f ca="1">_xll.ciqfunctions.udf.CIQ($B61,"IQ_CDS_mid",L$2)</f>
        <v>0</v>
      </c>
      <c r="M61">
        <f ca="1">_xll.ciqfunctions.udf.CIQ($B61,"IQ_CDS_mid",M$2)</f>
        <v>0</v>
      </c>
      <c r="N61">
        <f ca="1">_xll.ciqfunctions.udf.CIQ($B61,"IQ_CDS_mid",N$2)</f>
        <v>0</v>
      </c>
      <c r="O61">
        <f ca="1">_xll.ciqfunctions.udf.CIQ($B61,"IQ_CDS_mid",O$2)</f>
        <v>0</v>
      </c>
      <c r="P61">
        <f ca="1">_xll.ciqfunctions.udf.CIQ($B61,"IQ_CDS_mid",P$2)</f>
        <v>0</v>
      </c>
      <c r="Q61">
        <f ca="1">_xll.ciqfunctions.udf.CIQ($B61,"IQ_CDS_mid",Q$2)</f>
        <v>0</v>
      </c>
      <c r="R61">
        <f ca="1">_xll.ciqfunctions.udf.CIQ($B61,"IQ_CDS_mid",R$2)</f>
        <v>0</v>
      </c>
      <c r="S61">
        <f ca="1">_xll.ciqfunctions.udf.CIQ($B61,"IQ_CDS_mid",S$2)</f>
        <v>0</v>
      </c>
      <c r="T61">
        <f ca="1">C61-H61</f>
        <v>0</v>
      </c>
      <c r="U61">
        <f ca="1">C61-M61</f>
        <v>0</v>
      </c>
      <c r="V61">
        <f ca="1">C61-Q61</f>
        <v>0</v>
      </c>
      <c r="W61">
        <f ca="1">C61-R61</f>
        <v>0</v>
      </c>
      <c r="X61">
        <f t="shared" ca="1" si="13"/>
        <v>0</v>
      </c>
    </row>
    <row r="62" spans="1:24" ht="15.5">
      <c r="A62" s="21" t="s">
        <v>234</v>
      </c>
      <c r="X62">
        <f t="shared" si="13"/>
        <v>0</v>
      </c>
    </row>
    <row r="63" spans="1:24" ht="15.5">
      <c r="A63" s="22" t="s">
        <v>235</v>
      </c>
      <c r="B63" s="19" t="s">
        <v>236</v>
      </c>
      <c r="C63">
        <f ca="1">_xll.ciqfunctions.udf.CIQ($B63,"IQ_CDS_mid",C$2)</f>
        <v>60.904699999999998</v>
      </c>
      <c r="D63">
        <f ca="1">_xll.ciqfunctions.udf.CIQ($B63,"IQ_CDS_mid",D$2)</f>
        <v>60.904699999999998</v>
      </c>
      <c r="E63">
        <f ca="1">_xll.ciqfunctions.udf.CIQ($B63,"IQ_CDS_mid",E$2)</f>
        <v>60.904699999999998</v>
      </c>
      <c r="F63">
        <f ca="1">_xll.ciqfunctions.udf.CIQ($B63,"IQ_CDS_mid",F$2)</f>
        <v>60.904699999999998</v>
      </c>
      <c r="G63">
        <f ca="1">_xll.ciqfunctions.udf.CIQ($B63,"IQ_CDS_mid",G$2)</f>
        <v>60.795099999999998</v>
      </c>
      <c r="H63">
        <f ca="1">_xll.ciqfunctions.udf.CIQ($B63,"IQ_CDS_mid",H$2)</f>
        <v>59.663699999999999</v>
      </c>
      <c r="I63">
        <f ca="1">_xll.ciqfunctions.udf.CIQ($B63,"IQ_CDS_mid",I$2)</f>
        <v>59.75</v>
      </c>
      <c r="J63">
        <f ca="1">_xll.ciqfunctions.udf.CIQ($B63,"IQ_CDS_mid",J$2)</f>
        <v>60.25</v>
      </c>
      <c r="K63">
        <f ca="1">_xll.ciqfunctions.udf.CIQ($B63,"IQ_CDS_mid",K$2)</f>
        <v>60.666699999999999</v>
      </c>
      <c r="L63">
        <f ca="1">_xll.ciqfunctions.udf.CIQ($B63,"IQ_CDS_mid",L$2)</f>
        <v>60.666699999999999</v>
      </c>
      <c r="M63">
        <f ca="1">_xll.ciqfunctions.udf.CIQ($B63,"IQ_CDS_mid",M$2)</f>
        <v>60.666699999999999</v>
      </c>
      <c r="N63">
        <f ca="1">_xll.ciqfunctions.udf.CIQ($B63,"IQ_CDS_mid",N$2)</f>
        <v>59.799199999999999</v>
      </c>
      <c r="O63">
        <f ca="1">_xll.ciqfunctions.udf.CIQ($B63,"IQ_CDS_mid",O$2)</f>
        <v>60.664400000000001</v>
      </c>
      <c r="P63">
        <f ca="1">_xll.ciqfunctions.udf.CIQ($B63,"IQ_CDS_mid",P$2)</f>
        <v>60.900700000000001</v>
      </c>
      <c r="Q63">
        <f ca="1">_xll.ciqfunctions.udf.CIQ($B63,"IQ_CDS_mid",Q$2)</f>
        <v>60.703299999999999</v>
      </c>
      <c r="R63">
        <f ca="1">_xll.ciqfunctions.udf.CIQ($B63,"IQ_CDS_mid",R$2)</f>
        <v>69.872900000000001</v>
      </c>
      <c r="S63">
        <f ca="1">_xll.ciqfunctions.udf.CIQ($B63,"IQ_CDS_mid",S$2)</f>
        <v>61.924399999999999</v>
      </c>
      <c r="T63">
        <f ca="1">C63-H63</f>
        <v>1.2409999999999997</v>
      </c>
      <c r="U63">
        <f ca="1">C63-M63</f>
        <v>0.23799999999999955</v>
      </c>
      <c r="V63">
        <f ca="1">C63-Q63</f>
        <v>0.20139999999999958</v>
      </c>
      <c r="W63">
        <f ca="1">C63-R63</f>
        <v>-8.9682000000000031</v>
      </c>
      <c r="X63">
        <f t="shared" ca="1" si="13"/>
        <v>-1.0197000000000003</v>
      </c>
    </row>
    <row r="64" spans="1:24" ht="15.5">
      <c r="A64" s="22" t="s">
        <v>237</v>
      </c>
      <c r="B64" s="19" t="s">
        <v>238</v>
      </c>
      <c r="C64">
        <f ca="1">_xll.ciqfunctions.udf.CIQ($B64,"IQ_CDS_mid",C$2)</f>
        <v>39.554400000000001</v>
      </c>
      <c r="D64">
        <f ca="1">_xll.ciqfunctions.udf.CIQ($B64,"IQ_CDS_mid",D$2)</f>
        <v>39.554400000000001</v>
      </c>
      <c r="E64">
        <f ca="1">_xll.ciqfunctions.udf.CIQ($B64,"IQ_CDS_mid",E$2)</f>
        <v>39.554400000000001</v>
      </c>
      <c r="F64">
        <f ca="1">_xll.ciqfunctions.udf.CIQ($B64,"IQ_CDS_mid",F$2)</f>
        <v>39.554400000000001</v>
      </c>
      <c r="G64">
        <f ca="1">_xll.ciqfunctions.udf.CIQ($B64,"IQ_CDS_mid",G$2)</f>
        <v>39.338200000000001</v>
      </c>
      <c r="H64">
        <f ca="1">_xll.ciqfunctions.udf.CIQ($B64,"IQ_CDS_mid",H$2)</f>
        <v>38.584499999999998</v>
      </c>
      <c r="I64">
        <f ca="1">_xll.ciqfunctions.udf.CIQ($B64,"IQ_CDS_mid",I$2)</f>
        <v>38.505899999999997</v>
      </c>
      <c r="J64">
        <f ca="1">_xll.ciqfunctions.udf.CIQ($B64,"IQ_CDS_mid",J$2)</f>
        <v>39.0777</v>
      </c>
      <c r="K64">
        <f ca="1">_xll.ciqfunctions.udf.CIQ($B64,"IQ_CDS_mid",K$2)</f>
        <v>39.036700000000003</v>
      </c>
      <c r="L64">
        <f ca="1">_xll.ciqfunctions.udf.CIQ($B64,"IQ_CDS_mid",L$2)</f>
        <v>39.036700000000003</v>
      </c>
      <c r="M64">
        <f ca="1">_xll.ciqfunctions.udf.CIQ($B64,"IQ_CDS_mid",M$2)</f>
        <v>39.036700000000003</v>
      </c>
      <c r="N64">
        <f ca="1">_xll.ciqfunctions.udf.CIQ($B64,"IQ_CDS_mid",N$2)</f>
        <v>38.414999999999999</v>
      </c>
      <c r="O64">
        <f ca="1">_xll.ciqfunctions.udf.CIQ($B64,"IQ_CDS_mid",O$2)</f>
        <v>38.5015</v>
      </c>
      <c r="P64">
        <f ca="1">_xll.ciqfunctions.udf.CIQ($B64,"IQ_CDS_mid",P$2)</f>
        <v>38.765599999999999</v>
      </c>
      <c r="Q64">
        <f ca="1">_xll.ciqfunctions.udf.CIQ($B64,"IQ_CDS_mid",Q$2)</f>
        <v>38.46</v>
      </c>
      <c r="R64">
        <f ca="1">_xll.ciqfunctions.udf.CIQ($B64,"IQ_CDS_mid",R$2)</f>
        <v>47.856400000000001</v>
      </c>
      <c r="S64">
        <f ca="1">_xll.ciqfunctions.udf.CIQ($B64,"IQ_CDS_mid",S$2)</f>
        <v>47.762500000000003</v>
      </c>
      <c r="T64">
        <f ca="1">C64-H64</f>
        <v>0.96990000000000265</v>
      </c>
      <c r="U64">
        <f ca="1">C64-M64</f>
        <v>0.51769999999999783</v>
      </c>
      <c r="V64">
        <f ca="1">C64-Q64</f>
        <v>1.0944000000000003</v>
      </c>
      <c r="W64">
        <f ca="1">C64-R64</f>
        <v>-8.3019999999999996</v>
      </c>
      <c r="X64">
        <f t="shared" ca="1" si="13"/>
        <v>-8.2081000000000017</v>
      </c>
    </row>
    <row r="65" spans="1:24" ht="15.5">
      <c r="A65" s="22" t="s">
        <v>239</v>
      </c>
      <c r="B65" s="19" t="s">
        <v>240</v>
      </c>
      <c r="C65">
        <f ca="1">_xll.ciqfunctions.udf.CIQ($B65,"IQ_CDS_mid",C$2)</f>
        <v>56.539099999999998</v>
      </c>
      <c r="D65">
        <f ca="1">_xll.ciqfunctions.udf.CIQ($B65,"IQ_CDS_mid",D$2)</f>
        <v>56.539099999999998</v>
      </c>
      <c r="E65">
        <f ca="1">_xll.ciqfunctions.udf.CIQ($B65,"IQ_CDS_mid",E$2)</f>
        <v>56.539099999999998</v>
      </c>
      <c r="F65">
        <f ca="1">_xll.ciqfunctions.udf.CIQ($B65,"IQ_CDS_mid",F$2)</f>
        <v>56.539099999999998</v>
      </c>
      <c r="G65">
        <f ca="1">_xll.ciqfunctions.udf.CIQ($B65,"IQ_CDS_mid",G$2)</f>
        <v>56.534500000000001</v>
      </c>
      <c r="H65">
        <f ca="1">_xll.ciqfunctions.udf.CIQ($B65,"IQ_CDS_mid",H$2)</f>
        <v>55.296500000000002</v>
      </c>
      <c r="I65">
        <f ca="1">_xll.ciqfunctions.udf.CIQ($B65,"IQ_CDS_mid",I$2)</f>
        <v>55.125</v>
      </c>
      <c r="J65">
        <f ca="1">_xll.ciqfunctions.udf.CIQ($B65,"IQ_CDS_mid",J$2)</f>
        <v>55.688800000000001</v>
      </c>
      <c r="K65">
        <f ca="1">_xll.ciqfunctions.udf.CIQ($B65,"IQ_CDS_mid",K$2)</f>
        <v>55.879399999999997</v>
      </c>
      <c r="L65">
        <f ca="1">_xll.ciqfunctions.udf.CIQ($B65,"IQ_CDS_mid",L$2)</f>
        <v>55.879399999999997</v>
      </c>
      <c r="M65">
        <f ca="1">_xll.ciqfunctions.udf.CIQ($B65,"IQ_CDS_mid",M$2)</f>
        <v>55.879399999999997</v>
      </c>
      <c r="N65">
        <f ca="1">_xll.ciqfunctions.udf.CIQ($B65,"IQ_CDS_mid",N$2)</f>
        <v>55.098700000000001</v>
      </c>
      <c r="O65">
        <f ca="1">_xll.ciqfunctions.udf.CIQ($B65,"IQ_CDS_mid",O$2)</f>
        <v>55.1267</v>
      </c>
      <c r="P65">
        <f ca="1">_xll.ciqfunctions.udf.CIQ($B65,"IQ_CDS_mid",P$2)</f>
        <v>55.5715</v>
      </c>
      <c r="Q65">
        <f ca="1">_xll.ciqfunctions.udf.CIQ($B65,"IQ_CDS_mid",Q$2)</f>
        <v>55.329700000000003</v>
      </c>
      <c r="R65">
        <f ca="1">_xll.ciqfunctions.udf.CIQ($B65,"IQ_CDS_mid",R$2)</f>
        <v>63.45</v>
      </c>
      <c r="S65">
        <f ca="1">_xll.ciqfunctions.udf.CIQ($B65,"IQ_CDS_mid",S$2)</f>
        <v>55.362900000000003</v>
      </c>
      <c r="T65">
        <f ca="1">C65-H65</f>
        <v>1.2425999999999959</v>
      </c>
      <c r="U65">
        <f ca="1">C65-M65</f>
        <v>0.65970000000000084</v>
      </c>
      <c r="V65">
        <f ca="1">C65-Q65</f>
        <v>1.2093999999999951</v>
      </c>
      <c r="W65">
        <f ca="1">C65-R65</f>
        <v>-6.9109000000000052</v>
      </c>
      <c r="X65">
        <f t="shared" ca="1" si="13"/>
        <v>1.1761999999999944</v>
      </c>
    </row>
    <row r="66" spans="1:24" ht="15.5">
      <c r="A66" s="22" t="s">
        <v>241</v>
      </c>
      <c r="B66" s="19" t="s">
        <v>242</v>
      </c>
      <c r="C66">
        <f ca="1">_xll.ciqfunctions.udf.CIQ($B66,"IQ_CDS_mid",C$2)</f>
        <v>43.705300000000001</v>
      </c>
      <c r="D66">
        <f ca="1">_xll.ciqfunctions.udf.CIQ($B66,"IQ_CDS_mid",D$2)</f>
        <v>43.705300000000001</v>
      </c>
      <c r="E66">
        <f ca="1">_xll.ciqfunctions.udf.CIQ($B66,"IQ_CDS_mid",E$2)</f>
        <v>43.705300000000001</v>
      </c>
      <c r="F66">
        <f ca="1">_xll.ciqfunctions.udf.CIQ($B66,"IQ_CDS_mid",F$2)</f>
        <v>43.705300000000001</v>
      </c>
      <c r="G66">
        <f ca="1">_xll.ciqfunctions.udf.CIQ($B66,"IQ_CDS_mid",G$2)</f>
        <v>43.5822</v>
      </c>
      <c r="H66">
        <f ca="1">_xll.ciqfunctions.udf.CIQ($B66,"IQ_CDS_mid",H$2)</f>
        <v>42.75</v>
      </c>
      <c r="I66">
        <f ca="1">_xll.ciqfunctions.udf.CIQ($B66,"IQ_CDS_mid",I$2)</f>
        <v>42.7438</v>
      </c>
      <c r="J66">
        <f ca="1">_xll.ciqfunctions.udf.CIQ($B66,"IQ_CDS_mid",J$2)</f>
        <v>43.200800000000001</v>
      </c>
      <c r="K66">
        <f ca="1">_xll.ciqfunctions.udf.CIQ($B66,"IQ_CDS_mid",K$2)</f>
        <v>43.3386</v>
      </c>
      <c r="L66">
        <f ca="1">_xll.ciqfunctions.udf.CIQ($B66,"IQ_CDS_mid",L$2)</f>
        <v>43.3386</v>
      </c>
      <c r="M66">
        <f ca="1">_xll.ciqfunctions.udf.CIQ($B66,"IQ_CDS_mid",M$2)</f>
        <v>43.3386</v>
      </c>
      <c r="N66">
        <f ca="1">_xll.ciqfunctions.udf.CIQ($B66,"IQ_CDS_mid",N$2)</f>
        <v>43</v>
      </c>
      <c r="O66">
        <f ca="1">_xll.ciqfunctions.udf.CIQ($B66,"IQ_CDS_mid",O$2)</f>
        <v>43.125</v>
      </c>
      <c r="P66">
        <f ca="1">_xll.ciqfunctions.udf.CIQ($B66,"IQ_CDS_mid",P$2)</f>
        <v>43.497</v>
      </c>
      <c r="Q66">
        <f ca="1">_xll.ciqfunctions.udf.CIQ($B66,"IQ_CDS_mid",Q$2)</f>
        <v>43.1</v>
      </c>
      <c r="R66">
        <f ca="1">_xll.ciqfunctions.udf.CIQ($B66,"IQ_CDS_mid",R$2)</f>
        <v>55.165300000000002</v>
      </c>
      <c r="S66">
        <f ca="1">_xll.ciqfunctions.udf.CIQ($B66,"IQ_CDS_mid",S$2)</f>
        <v>55.116999999999997</v>
      </c>
      <c r="T66">
        <f ca="1">C66-H66</f>
        <v>0.95530000000000115</v>
      </c>
      <c r="U66">
        <f ca="1">C66-M66</f>
        <v>0.36670000000000158</v>
      </c>
      <c r="V66">
        <f ca="1">C66-Q66</f>
        <v>0.60529999999999973</v>
      </c>
      <c r="W66">
        <f ca="1">C66-R66</f>
        <v>-11.46</v>
      </c>
      <c r="X66">
        <f t="shared" ca="1" si="13"/>
        <v>-11.411699999999996</v>
      </c>
    </row>
    <row r="67" spans="1:24" ht="15.5">
      <c r="A67" s="21" t="s">
        <v>21</v>
      </c>
      <c r="X67">
        <f t="shared" si="13"/>
        <v>0</v>
      </c>
    </row>
    <row r="68" spans="1:24" ht="15.5">
      <c r="A68" s="22" t="s">
        <v>243</v>
      </c>
      <c r="B68" s="19" t="s">
        <v>244</v>
      </c>
      <c r="C68">
        <f ca="1">_xll.ciqfunctions.udf.CIQ($B68,"IQ_CDS_mid",C$2)</f>
        <v>46.344900000000003</v>
      </c>
      <c r="D68">
        <f ca="1">_xll.ciqfunctions.udf.CIQ($B68,"IQ_CDS_mid",D$2)</f>
        <v>46.344900000000003</v>
      </c>
      <c r="E68">
        <f ca="1">_xll.ciqfunctions.udf.CIQ($B68,"IQ_CDS_mid",E$2)</f>
        <v>46.344900000000003</v>
      </c>
      <c r="F68">
        <f ca="1">_xll.ciqfunctions.udf.CIQ($B68,"IQ_CDS_mid",F$2)</f>
        <v>46.344900000000003</v>
      </c>
      <c r="G68">
        <f ca="1">_xll.ciqfunctions.udf.CIQ($B68,"IQ_CDS_mid",G$2)</f>
        <v>45.904400000000003</v>
      </c>
      <c r="H68">
        <f ca="1">_xll.ciqfunctions.udf.CIQ($B68,"IQ_CDS_mid",H$2)</f>
        <v>44.75</v>
      </c>
      <c r="I68">
        <f ca="1">_xll.ciqfunctions.udf.CIQ($B68,"IQ_CDS_mid",I$2)</f>
        <v>44.851300000000002</v>
      </c>
      <c r="J68">
        <f ca="1">_xll.ciqfunctions.udf.CIQ($B68,"IQ_CDS_mid",J$2)</f>
        <v>45.375</v>
      </c>
      <c r="K68">
        <f ca="1">_xll.ciqfunctions.udf.CIQ($B68,"IQ_CDS_mid",K$2)</f>
        <v>45.833300000000001</v>
      </c>
      <c r="L68">
        <f ca="1">_xll.ciqfunctions.udf.CIQ($B68,"IQ_CDS_mid",L$2)</f>
        <v>45.833300000000001</v>
      </c>
      <c r="M68">
        <f ca="1">_xll.ciqfunctions.udf.CIQ($B68,"IQ_CDS_mid",M$2)</f>
        <v>45.833300000000001</v>
      </c>
      <c r="N68">
        <f ca="1">_xll.ciqfunctions.udf.CIQ($B68,"IQ_CDS_mid",N$2)</f>
        <v>45.355499999999999</v>
      </c>
      <c r="O68">
        <f ca="1">_xll.ciqfunctions.udf.CIQ($B68,"IQ_CDS_mid",O$2)</f>
        <v>46.150799999999997</v>
      </c>
      <c r="P68">
        <f ca="1">_xll.ciqfunctions.udf.CIQ($B68,"IQ_CDS_mid",P$2)</f>
        <v>46.210500000000003</v>
      </c>
      <c r="Q68">
        <f ca="1">_xll.ciqfunctions.udf.CIQ($B68,"IQ_CDS_mid",Q$2)</f>
        <v>46.432499999999997</v>
      </c>
      <c r="R68">
        <f ca="1">_xll.ciqfunctions.udf.CIQ($B68,"IQ_CDS_mid",R$2)</f>
        <v>57.7</v>
      </c>
      <c r="S68">
        <f ca="1">_xll.ciqfunctions.udf.CIQ($B68,"IQ_CDS_mid",S$2)</f>
        <v>52.124000000000002</v>
      </c>
      <c r="T68">
        <f ca="1">C68-H68</f>
        <v>1.5949000000000026</v>
      </c>
      <c r="U68">
        <f ca="1">C68-M68</f>
        <v>0.51160000000000139</v>
      </c>
      <c r="V68">
        <f ca="1">C68-Q68</f>
        <v>-8.7599999999994793E-2</v>
      </c>
      <c r="W68">
        <f ca="1">C68-R68</f>
        <v>-11.3551</v>
      </c>
      <c r="X68">
        <f t="shared" ca="1" si="13"/>
        <v>-5.7790999999999997</v>
      </c>
    </row>
    <row r="69" spans="1:24" ht="15.5">
      <c r="A69" s="23" t="s">
        <v>245</v>
      </c>
      <c r="B69" s="19" t="s">
        <v>246</v>
      </c>
      <c r="C69">
        <f ca="1">_xll.ciqfunctions.udf.CIQ($B69,"IQ_CDS_mid",C$2)</f>
        <v>37</v>
      </c>
      <c r="D69">
        <f ca="1">_xll.ciqfunctions.udf.CIQ($B69,"IQ_CDS_mid",D$2)</f>
        <v>37</v>
      </c>
      <c r="E69">
        <f ca="1">_xll.ciqfunctions.udf.CIQ($B69,"IQ_CDS_mid",E$2)</f>
        <v>37</v>
      </c>
      <c r="F69">
        <f ca="1">_xll.ciqfunctions.udf.CIQ($B69,"IQ_CDS_mid",F$2)</f>
        <v>37</v>
      </c>
      <c r="G69">
        <f ca="1">_xll.ciqfunctions.udf.CIQ($B69,"IQ_CDS_mid",G$2)</f>
        <v>37.083300000000001</v>
      </c>
      <c r="H69">
        <f ca="1">_xll.ciqfunctions.udf.CIQ($B69,"IQ_CDS_mid",H$2)</f>
        <v>36.833300000000001</v>
      </c>
      <c r="I69">
        <f ca="1">_xll.ciqfunctions.udf.CIQ($B69,"IQ_CDS_mid",I$2)</f>
        <v>36.5</v>
      </c>
      <c r="J69">
        <f ca="1">_xll.ciqfunctions.udf.CIQ($B69,"IQ_CDS_mid",J$2)</f>
        <v>36.75</v>
      </c>
      <c r="K69">
        <f ca="1">_xll.ciqfunctions.udf.CIQ($B69,"IQ_CDS_mid",K$2)</f>
        <v>36.5</v>
      </c>
      <c r="L69">
        <f ca="1">_xll.ciqfunctions.udf.CIQ($B69,"IQ_CDS_mid",L$2)</f>
        <v>36.5</v>
      </c>
      <c r="M69">
        <f ca="1">_xll.ciqfunctions.udf.CIQ($B69,"IQ_CDS_mid",M$2)</f>
        <v>36.5</v>
      </c>
      <c r="N69">
        <f ca="1">_xll.ciqfunctions.udf.CIQ($B69,"IQ_CDS_mid",N$2)</f>
        <v>37.1</v>
      </c>
      <c r="O69">
        <f ca="1">_xll.ciqfunctions.udf.CIQ($B69,"IQ_CDS_mid",O$2)</f>
        <v>37.5</v>
      </c>
      <c r="P69">
        <f ca="1">_xll.ciqfunctions.udf.CIQ($B69,"IQ_CDS_mid",P$2)</f>
        <v>37.5</v>
      </c>
      <c r="Q69">
        <f ca="1">_xll.ciqfunctions.udf.CIQ($B69,"IQ_CDS_mid",Q$2)</f>
        <v>37.375999999999998</v>
      </c>
      <c r="R69">
        <f ca="1">_xll.ciqfunctions.udf.CIQ($B69,"IQ_CDS_mid",R$2)</f>
        <v>46.375</v>
      </c>
      <c r="S69">
        <f ca="1">_xll.ciqfunctions.udf.CIQ($B69,"IQ_CDS_mid",S$2)</f>
        <v>42.281199999999998</v>
      </c>
      <c r="T69">
        <f ca="1">C69-H69</f>
        <v>0.16669999999999874</v>
      </c>
      <c r="U69">
        <f ca="1">C69-M69</f>
        <v>0.5</v>
      </c>
      <c r="V69">
        <f ca="1">C69-Q69</f>
        <v>-0.37599999999999767</v>
      </c>
      <c r="W69">
        <f ca="1">C69-R69</f>
        <v>-9.375</v>
      </c>
      <c r="X69">
        <f t="shared" ca="1" si="13"/>
        <v>-5.2811999999999983</v>
      </c>
    </row>
    <row r="70" spans="1:24" ht="15.5">
      <c r="A70" s="21" t="s">
        <v>33</v>
      </c>
      <c r="B70" s="19"/>
      <c r="X70">
        <f t="shared" si="13"/>
        <v>0</v>
      </c>
    </row>
    <row r="71" spans="1:24" ht="15.5">
      <c r="A71" s="23" t="s">
        <v>247</v>
      </c>
      <c r="B71" s="19" t="s">
        <v>248</v>
      </c>
      <c r="C71">
        <f ca="1">_xll.ciqfunctions.udf.CIQ($B71,"IQ_CDS_mid",C$2)</f>
        <v>25.592400000000001</v>
      </c>
      <c r="D71">
        <f ca="1">_xll.ciqfunctions.udf.CIQ($B71,"IQ_CDS_mid",D$2)</f>
        <v>25.592400000000001</v>
      </c>
      <c r="E71">
        <f ca="1">_xll.ciqfunctions.udf.CIQ($B71,"IQ_CDS_mid",E$2)</f>
        <v>25.592400000000001</v>
      </c>
      <c r="F71">
        <f ca="1">_xll.ciqfunctions.udf.CIQ($B71,"IQ_CDS_mid",F$2)</f>
        <v>25.592400000000001</v>
      </c>
      <c r="G71">
        <f ca="1">_xll.ciqfunctions.udf.CIQ($B71,"IQ_CDS_mid",G$2)</f>
        <v>25.5366</v>
      </c>
      <c r="H71">
        <f ca="1">_xll.ciqfunctions.udf.CIQ($B71,"IQ_CDS_mid",H$2)</f>
        <v>25.1</v>
      </c>
      <c r="I71">
        <f ca="1">_xll.ciqfunctions.udf.CIQ($B71,"IQ_CDS_mid",I$2)</f>
        <v>25.074999999999999</v>
      </c>
      <c r="J71">
        <f ca="1">_xll.ciqfunctions.udf.CIQ($B71,"IQ_CDS_mid",J$2)</f>
        <v>25.1</v>
      </c>
      <c r="K71">
        <f ca="1">_xll.ciqfunctions.udf.CIQ($B71,"IQ_CDS_mid",K$2)</f>
        <v>25.16</v>
      </c>
      <c r="L71">
        <f ca="1">_xll.ciqfunctions.udf.CIQ($B71,"IQ_CDS_mid",L$2)</f>
        <v>25.16</v>
      </c>
      <c r="M71">
        <f ca="1">_xll.ciqfunctions.udf.CIQ($B71,"IQ_CDS_mid",M$2)</f>
        <v>25.16</v>
      </c>
      <c r="N71">
        <f ca="1">_xll.ciqfunctions.udf.CIQ($B71,"IQ_CDS_mid",N$2)</f>
        <v>25</v>
      </c>
      <c r="O71">
        <f ca="1">_xll.ciqfunctions.udf.CIQ($B71,"IQ_CDS_mid",O$2)</f>
        <v>24.86</v>
      </c>
      <c r="P71">
        <f ca="1">_xll.ciqfunctions.udf.CIQ($B71,"IQ_CDS_mid",P$2)</f>
        <v>25.02</v>
      </c>
      <c r="Q71">
        <f ca="1">_xll.ciqfunctions.udf.CIQ($B71,"IQ_CDS_mid",Q$2)</f>
        <v>24.98</v>
      </c>
      <c r="R71">
        <f ca="1">_xll.ciqfunctions.udf.CIQ($B71,"IQ_CDS_mid",R$2)</f>
        <v>29.5</v>
      </c>
      <c r="S71">
        <f ca="1">_xll.ciqfunctions.udf.CIQ($B71,"IQ_CDS_mid",S$2)</f>
        <v>36.954300000000003</v>
      </c>
      <c r="T71">
        <f ca="1">C71-H71</f>
        <v>0.49239999999999995</v>
      </c>
      <c r="U71">
        <f ca="1">C71-M71</f>
        <v>0.43240000000000123</v>
      </c>
      <c r="V71">
        <f ca="1">C71-Q71</f>
        <v>0.61240000000000094</v>
      </c>
      <c r="W71">
        <f ca="1">C71-R71</f>
        <v>-3.9075999999999986</v>
      </c>
      <c r="X71">
        <f t="shared" ca="1" si="13"/>
        <v>-11.361900000000002</v>
      </c>
    </row>
    <row r="72" spans="1:24" ht="15.5">
      <c r="A72" s="21" t="s">
        <v>44</v>
      </c>
      <c r="X72">
        <f t="shared" si="13"/>
        <v>0</v>
      </c>
    </row>
    <row r="73" spans="1:24" ht="15.5">
      <c r="A73" s="22" t="s">
        <v>249</v>
      </c>
      <c r="B73" s="19" t="s">
        <v>250</v>
      </c>
      <c r="C73">
        <f ca="1">_xll.ciqfunctions.udf.CIQ($B73,"IQ_CDS_mid",C$2)</f>
        <v>43.461500000000001</v>
      </c>
      <c r="D73">
        <f ca="1">_xll.ciqfunctions.udf.CIQ($B73,"IQ_CDS_mid",D$2)</f>
        <v>43.461500000000001</v>
      </c>
      <c r="E73">
        <f ca="1">_xll.ciqfunctions.udf.CIQ($B73,"IQ_CDS_mid",E$2)</f>
        <v>43.461500000000001</v>
      </c>
      <c r="F73">
        <f ca="1">_xll.ciqfunctions.udf.CIQ($B73,"IQ_CDS_mid",F$2)</f>
        <v>43.461500000000001</v>
      </c>
      <c r="G73">
        <f ca="1">_xll.ciqfunctions.udf.CIQ($B73,"IQ_CDS_mid",G$2)</f>
        <v>43.4407</v>
      </c>
      <c r="H73">
        <f ca="1">_xll.ciqfunctions.udf.CIQ($B73,"IQ_CDS_mid",H$2)</f>
        <v>43.426000000000002</v>
      </c>
      <c r="I73">
        <f ca="1">_xll.ciqfunctions.udf.CIQ($B73,"IQ_CDS_mid",I$2)</f>
        <v>43.393099999999997</v>
      </c>
      <c r="J73">
        <f ca="1">_xll.ciqfunctions.udf.CIQ($B73,"IQ_CDS_mid",J$2)</f>
        <v>43.315399999999997</v>
      </c>
      <c r="K73">
        <f ca="1">_xll.ciqfunctions.udf.CIQ($B73,"IQ_CDS_mid",K$2)</f>
        <v>43.433900000000001</v>
      </c>
      <c r="L73">
        <f ca="1">_xll.ciqfunctions.udf.CIQ($B73,"IQ_CDS_mid",L$2)</f>
        <v>43.433900000000001</v>
      </c>
      <c r="M73">
        <f ca="1">_xll.ciqfunctions.udf.CIQ($B73,"IQ_CDS_mid",M$2)</f>
        <v>43.433900000000001</v>
      </c>
      <c r="N73">
        <f ca="1">_xll.ciqfunctions.udf.CIQ($B73,"IQ_CDS_mid",N$2)</f>
        <v>43.392099999999999</v>
      </c>
      <c r="O73">
        <f ca="1">_xll.ciqfunctions.udf.CIQ($B73,"IQ_CDS_mid",O$2)</f>
        <v>43.332000000000001</v>
      </c>
      <c r="P73">
        <f ca="1">_xll.ciqfunctions.udf.CIQ($B73,"IQ_CDS_mid",P$2)</f>
        <v>43.197099999999999</v>
      </c>
      <c r="Q73">
        <f ca="1">_xll.ciqfunctions.udf.CIQ($B73,"IQ_CDS_mid",Q$2)</f>
        <v>41.173699999999997</v>
      </c>
      <c r="R73">
        <f ca="1">_xll.ciqfunctions.udf.CIQ($B73,"IQ_CDS_mid",R$2)</f>
        <v>42.827199999999998</v>
      </c>
      <c r="S73">
        <f ca="1">_xll.ciqfunctions.udf.CIQ($B73,"IQ_CDS_mid",S$2)</f>
        <v>36.0533</v>
      </c>
      <c r="T73">
        <f ca="1">C73-H73</f>
        <v>3.5499999999998977E-2</v>
      </c>
      <c r="U73">
        <f ca="1">C73-M73</f>
        <v>2.7599999999999625E-2</v>
      </c>
      <c r="V73">
        <f ca="1">C73-Q73</f>
        <v>2.2878000000000043</v>
      </c>
      <c r="W73">
        <f ca="1">C73-R73</f>
        <v>0.63430000000000319</v>
      </c>
      <c r="X73">
        <f t="shared" ca="1" si="13"/>
        <v>7.4082000000000008</v>
      </c>
    </row>
    <row r="74" spans="1:24" ht="15.5">
      <c r="A74" s="22" t="s">
        <v>251</v>
      </c>
      <c r="B74" s="19" t="s">
        <v>252</v>
      </c>
      <c r="C74">
        <f ca="1">_xll.ciqfunctions.udf.CIQ($B74,"IQ_CDS_mid",C$2)</f>
        <v>42.411499999999997</v>
      </c>
      <c r="D74">
        <f ca="1">_xll.ciqfunctions.udf.CIQ($B74,"IQ_CDS_mid",D$2)</f>
        <v>42.411499999999997</v>
      </c>
      <c r="E74">
        <f ca="1">_xll.ciqfunctions.udf.CIQ($B74,"IQ_CDS_mid",E$2)</f>
        <v>42.411499999999997</v>
      </c>
      <c r="F74">
        <f ca="1">_xll.ciqfunctions.udf.CIQ($B74,"IQ_CDS_mid",F$2)</f>
        <v>42.411499999999997</v>
      </c>
      <c r="G74">
        <f ca="1">_xll.ciqfunctions.udf.CIQ($B74,"IQ_CDS_mid",G$2)</f>
        <v>42.341000000000001</v>
      </c>
      <c r="H74">
        <f ca="1">_xll.ciqfunctions.udf.CIQ($B74,"IQ_CDS_mid",H$2)</f>
        <v>42.098999999999997</v>
      </c>
      <c r="I74">
        <f ca="1">_xll.ciqfunctions.udf.CIQ($B74,"IQ_CDS_mid",I$2)</f>
        <v>41.339500000000001</v>
      </c>
      <c r="J74">
        <f ca="1">_xll.ciqfunctions.udf.CIQ($B74,"IQ_CDS_mid",J$2)</f>
        <v>41.657699999999998</v>
      </c>
      <c r="K74">
        <f ca="1">_xll.ciqfunctions.udf.CIQ($B74,"IQ_CDS_mid",K$2)</f>
        <v>41.3125</v>
      </c>
      <c r="L74">
        <f ca="1">_xll.ciqfunctions.udf.CIQ($B74,"IQ_CDS_mid",L$2)</f>
        <v>41.3125</v>
      </c>
      <c r="M74">
        <f ca="1">_xll.ciqfunctions.udf.CIQ($B74,"IQ_CDS_mid",M$2)</f>
        <v>41.3125</v>
      </c>
      <c r="N74">
        <f ca="1">_xll.ciqfunctions.udf.CIQ($B74,"IQ_CDS_mid",N$2)</f>
        <v>41.3309</v>
      </c>
      <c r="O74">
        <f ca="1">_xll.ciqfunctions.udf.CIQ($B74,"IQ_CDS_mid",O$2)</f>
        <v>41.817799999999998</v>
      </c>
      <c r="P74">
        <f ca="1">_xll.ciqfunctions.udf.CIQ($B74,"IQ_CDS_mid",P$2)</f>
        <v>43.6434</v>
      </c>
      <c r="Q74">
        <f ca="1">_xll.ciqfunctions.udf.CIQ($B74,"IQ_CDS_mid",Q$2)</f>
        <v>41.251800000000003</v>
      </c>
      <c r="R74">
        <f ca="1">_xll.ciqfunctions.udf.CIQ($B74,"IQ_CDS_mid",R$2)</f>
        <v>39.695799999999998</v>
      </c>
      <c r="S74">
        <f ca="1">_xll.ciqfunctions.udf.CIQ($B74,"IQ_CDS_mid",S$2)</f>
        <v>30.3156</v>
      </c>
      <c r="T74">
        <f ca="1">C74-H74</f>
        <v>0.3125</v>
      </c>
      <c r="U74">
        <f ca="1">C74-M74</f>
        <v>1.0989999999999966</v>
      </c>
      <c r="V74">
        <f ca="1">C74-Q74</f>
        <v>1.1596999999999937</v>
      </c>
      <c r="W74">
        <f ca="1">C74-R74</f>
        <v>2.7156999999999982</v>
      </c>
      <c r="X74">
        <f t="shared" ca="1" si="13"/>
        <v>12.095899999999997</v>
      </c>
    </row>
    <row r="75" spans="1:24" ht="15.5">
      <c r="A75" s="22" t="s">
        <v>253</v>
      </c>
      <c r="B75" s="19" t="s">
        <v>254</v>
      </c>
      <c r="C75">
        <f ca="1">_xll.ciqfunctions.udf.CIQ($B75,"IQ_CDS_mid",C$2)</f>
        <v>41.214599999999997</v>
      </c>
      <c r="D75">
        <f ca="1">_xll.ciqfunctions.udf.CIQ($B75,"IQ_CDS_mid",D$2)</f>
        <v>41.214599999999997</v>
      </c>
      <c r="E75">
        <f ca="1">_xll.ciqfunctions.udf.CIQ($B75,"IQ_CDS_mid",E$2)</f>
        <v>41.214599999999997</v>
      </c>
      <c r="F75">
        <f ca="1">_xll.ciqfunctions.udf.CIQ($B75,"IQ_CDS_mid",F$2)</f>
        <v>41.214599999999997</v>
      </c>
      <c r="G75">
        <f ca="1">_xll.ciqfunctions.udf.CIQ($B75,"IQ_CDS_mid",G$2)</f>
        <v>40.949300000000001</v>
      </c>
      <c r="H75">
        <f ca="1">_xll.ciqfunctions.udf.CIQ($B75,"IQ_CDS_mid",H$2)</f>
        <v>40.966500000000003</v>
      </c>
      <c r="I75">
        <f ca="1">_xll.ciqfunctions.udf.CIQ($B75,"IQ_CDS_mid",I$2)</f>
        <v>41.008400000000002</v>
      </c>
      <c r="J75">
        <f ca="1">_xll.ciqfunctions.udf.CIQ($B75,"IQ_CDS_mid",J$2)</f>
        <v>41.039200000000001</v>
      </c>
      <c r="K75">
        <f ca="1">_xll.ciqfunctions.udf.CIQ($B75,"IQ_CDS_mid",K$2)</f>
        <v>41.042499999999997</v>
      </c>
      <c r="L75">
        <f ca="1">_xll.ciqfunctions.udf.CIQ($B75,"IQ_CDS_mid",L$2)</f>
        <v>41.042499999999997</v>
      </c>
      <c r="M75">
        <f ca="1">_xll.ciqfunctions.udf.CIQ($B75,"IQ_CDS_mid",M$2)</f>
        <v>41.042499999999997</v>
      </c>
      <c r="N75">
        <f ca="1">_xll.ciqfunctions.udf.CIQ($B75,"IQ_CDS_mid",N$2)</f>
        <v>41.052500000000002</v>
      </c>
      <c r="O75">
        <f ca="1">_xll.ciqfunctions.udf.CIQ($B75,"IQ_CDS_mid",O$2)</f>
        <v>41.089199999999998</v>
      </c>
      <c r="P75">
        <f ca="1">_xll.ciqfunctions.udf.CIQ($B75,"IQ_CDS_mid",P$2)</f>
        <v>41.145000000000003</v>
      </c>
      <c r="Q75">
        <f ca="1">_xll.ciqfunctions.udf.CIQ($B75,"IQ_CDS_mid",Q$2)</f>
        <v>41.148099999999999</v>
      </c>
      <c r="R75">
        <f ca="1">_xll.ciqfunctions.udf.CIQ($B75,"IQ_CDS_mid",R$2)</f>
        <v>46.023099999999999</v>
      </c>
      <c r="S75">
        <f ca="1">_xll.ciqfunctions.udf.CIQ($B75,"IQ_CDS_mid",S$2)</f>
        <v>54.529899999999998</v>
      </c>
      <c r="T75">
        <f ca="1">C75-H75</f>
        <v>0.24809999999999377</v>
      </c>
      <c r="U75">
        <f ca="1">C75-M75</f>
        <v>0.17210000000000036</v>
      </c>
      <c r="V75">
        <f ca="1">C75-Q75</f>
        <v>6.6499999999997783E-2</v>
      </c>
      <c r="W75">
        <f ca="1">C75-R75</f>
        <v>-4.8085000000000022</v>
      </c>
      <c r="X75">
        <f t="shared" ca="1" si="13"/>
        <v>-13.315300000000001</v>
      </c>
    </row>
    <row r="76" spans="1:24" ht="15.5">
      <c r="A76" s="23" t="s">
        <v>255</v>
      </c>
      <c r="B76" s="19" t="s">
        <v>256</v>
      </c>
      <c r="C76">
        <f ca="1">_xll.ciqfunctions.udf.CIQ($B76,"IQ_CDS_mid",C$2)</f>
        <v>62.384099999999997</v>
      </c>
      <c r="D76">
        <f ca="1">_xll.ciqfunctions.udf.CIQ($B76,"IQ_CDS_mid",D$2)</f>
        <v>62.384099999999997</v>
      </c>
      <c r="E76">
        <f ca="1">_xll.ciqfunctions.udf.CIQ($B76,"IQ_CDS_mid",E$2)</f>
        <v>62.384099999999997</v>
      </c>
      <c r="F76">
        <f ca="1">_xll.ciqfunctions.udf.CIQ($B76,"IQ_CDS_mid",F$2)</f>
        <v>62.384099999999997</v>
      </c>
      <c r="G76">
        <f ca="1">_xll.ciqfunctions.udf.CIQ($B76,"IQ_CDS_mid",G$2)</f>
        <v>61.472900000000003</v>
      </c>
      <c r="H76">
        <f ca="1">_xll.ciqfunctions.udf.CIQ($B76,"IQ_CDS_mid",H$2)</f>
        <v>61.718400000000003</v>
      </c>
      <c r="I76">
        <f ca="1">_xll.ciqfunctions.udf.CIQ($B76,"IQ_CDS_mid",I$2)</f>
        <v>62.207799999999999</v>
      </c>
      <c r="J76">
        <f ca="1">_xll.ciqfunctions.udf.CIQ($B76,"IQ_CDS_mid",J$2)</f>
        <v>62.165799999999997</v>
      </c>
      <c r="K76">
        <f ca="1">_xll.ciqfunctions.udf.CIQ($B76,"IQ_CDS_mid",K$2)</f>
        <v>63.653300000000002</v>
      </c>
      <c r="L76">
        <f ca="1">_xll.ciqfunctions.udf.CIQ($B76,"IQ_CDS_mid",L$2)</f>
        <v>63.653300000000002</v>
      </c>
      <c r="M76">
        <f ca="1">_xll.ciqfunctions.udf.CIQ($B76,"IQ_CDS_mid",M$2)</f>
        <v>63.653300000000002</v>
      </c>
      <c r="N76">
        <f ca="1">_xll.ciqfunctions.udf.CIQ($B76,"IQ_CDS_mid",N$2)</f>
        <v>63.594999999999999</v>
      </c>
      <c r="O76">
        <f ca="1">_xll.ciqfunctions.udf.CIQ($B76,"IQ_CDS_mid",O$2)</f>
        <v>64.0749</v>
      </c>
      <c r="P76">
        <f ca="1">_xll.ciqfunctions.udf.CIQ($B76,"IQ_CDS_mid",P$2)</f>
        <v>64.131299999999996</v>
      </c>
      <c r="Q76">
        <f ca="1">_xll.ciqfunctions.udf.CIQ($B76,"IQ_CDS_mid",Q$2)</f>
        <v>64.544399999999996</v>
      </c>
      <c r="R76">
        <f ca="1">_xll.ciqfunctions.udf.CIQ($B76,"IQ_CDS_mid",R$2)</f>
        <v>67.915300000000002</v>
      </c>
      <c r="S76">
        <f ca="1">_xll.ciqfunctions.udf.CIQ($B76,"IQ_CDS_mid",S$2)</f>
        <v>68.294200000000004</v>
      </c>
      <c r="T76">
        <f ca="1">C76-H76</f>
        <v>0.66569999999999396</v>
      </c>
      <c r="U76">
        <f ca="1">C76-M76</f>
        <v>-1.269200000000005</v>
      </c>
      <c r="V76">
        <f ca="1">C76-Q76</f>
        <v>-2.1602999999999994</v>
      </c>
      <c r="W76">
        <f ca="1">C76-R76</f>
        <v>-5.5312000000000054</v>
      </c>
      <c r="X76">
        <f t="shared" ca="1" si="13"/>
        <v>-5.910100000000007</v>
      </c>
    </row>
    <row r="77" spans="1:24" ht="15.5">
      <c r="A77" s="23" t="s">
        <v>257</v>
      </c>
      <c r="B77" s="19" t="s">
        <v>258</v>
      </c>
      <c r="C77">
        <f ca="1">_xll.ciqfunctions.udf.CIQ($B77,"IQ_CDS_mid",C$2)</f>
        <v>75.2102</v>
      </c>
      <c r="D77">
        <f ca="1">_xll.ciqfunctions.udf.CIQ($B77,"IQ_CDS_mid",D$2)</f>
        <v>75.2102</v>
      </c>
      <c r="E77">
        <f ca="1">_xll.ciqfunctions.udf.CIQ($B77,"IQ_CDS_mid",E$2)</f>
        <v>75.2102</v>
      </c>
      <c r="F77">
        <f ca="1">_xll.ciqfunctions.udf.CIQ($B77,"IQ_CDS_mid",F$2)</f>
        <v>75.2102</v>
      </c>
      <c r="G77">
        <f ca="1">_xll.ciqfunctions.udf.CIQ($B77,"IQ_CDS_mid",G$2)</f>
        <v>75.203500000000005</v>
      </c>
      <c r="H77">
        <f ca="1">_xll.ciqfunctions.udf.CIQ($B77,"IQ_CDS_mid",H$2)</f>
        <v>75.207400000000007</v>
      </c>
      <c r="I77">
        <f ca="1">_xll.ciqfunctions.udf.CIQ($B77,"IQ_CDS_mid",I$2)</f>
        <v>75.209900000000005</v>
      </c>
      <c r="J77">
        <f ca="1">_xll.ciqfunctions.udf.CIQ($B77,"IQ_CDS_mid",J$2)</f>
        <v>74.622</v>
      </c>
      <c r="K77">
        <f ca="1">_xll.ciqfunctions.udf.CIQ($B77,"IQ_CDS_mid",K$2)</f>
        <v>75.218100000000007</v>
      </c>
      <c r="L77">
        <f ca="1">_xll.ciqfunctions.udf.CIQ($B77,"IQ_CDS_mid",L$2)</f>
        <v>75.218100000000007</v>
      </c>
      <c r="M77">
        <f ca="1">_xll.ciqfunctions.udf.CIQ($B77,"IQ_CDS_mid",M$2)</f>
        <v>75.218100000000007</v>
      </c>
      <c r="N77">
        <f ca="1">_xll.ciqfunctions.udf.CIQ($B77,"IQ_CDS_mid",N$2)</f>
        <v>75.213499999999996</v>
      </c>
      <c r="O77">
        <f ca="1">_xll.ciqfunctions.udf.CIQ($B77,"IQ_CDS_mid",O$2)</f>
        <v>75.210700000000003</v>
      </c>
      <c r="P77">
        <f ca="1">_xll.ciqfunctions.udf.CIQ($B77,"IQ_CDS_mid",P$2)</f>
        <v>74.631799999999998</v>
      </c>
      <c r="Q77">
        <f ca="1">_xll.ciqfunctions.udf.CIQ($B77,"IQ_CDS_mid",Q$2)</f>
        <v>75.213800000000006</v>
      </c>
      <c r="R77">
        <f ca="1">_xll.ciqfunctions.udf.CIQ($B77,"IQ_CDS_mid",R$2)</f>
        <v>74.134299999999996</v>
      </c>
      <c r="S77">
        <f ca="1">_xll.ciqfunctions.udf.CIQ($B77,"IQ_CDS_mid",S$2)</f>
        <v>77.104500000000002</v>
      </c>
      <c r="T77">
        <f ca="1">C77-H77</f>
        <v>2.7999999999934744E-3</v>
      </c>
      <c r="U77">
        <f ca="1">C77-M77</f>
        <v>-7.9000000000064574E-3</v>
      </c>
      <c r="V77">
        <f ca="1">C77-Q77</f>
        <v>-3.6000000000058208E-3</v>
      </c>
      <c r="W77">
        <f ca="1">C77-R77</f>
        <v>1.0759000000000043</v>
      </c>
      <c r="X77">
        <f t="shared" ca="1" si="13"/>
        <v>-1.8943000000000012</v>
      </c>
    </row>
    <row r="78" spans="1:24" ht="15.5">
      <c r="A78" s="21" t="s">
        <v>13</v>
      </c>
      <c r="X78">
        <f t="shared" si="13"/>
        <v>0</v>
      </c>
    </row>
    <row r="79" spans="1:24" ht="15.5">
      <c r="A79" s="22" t="s">
        <v>259</v>
      </c>
      <c r="B79" s="19" t="s">
        <v>260</v>
      </c>
      <c r="C79">
        <f ca="1">_xll.ciqfunctions.udf.CIQ($B79,"IQ_CDS_mid",C$2)</f>
        <v>61.666699999999999</v>
      </c>
      <c r="D79">
        <f ca="1">_xll.ciqfunctions.udf.CIQ($B79,"IQ_CDS_mid",D$2)</f>
        <v>61.666699999999999</v>
      </c>
      <c r="E79">
        <f ca="1">_xll.ciqfunctions.udf.CIQ($B79,"IQ_CDS_mid",E$2)</f>
        <v>61.666699999999999</v>
      </c>
      <c r="F79">
        <f ca="1">_xll.ciqfunctions.udf.CIQ($B79,"IQ_CDS_mid",F$2)</f>
        <v>61.666699999999999</v>
      </c>
      <c r="G79">
        <f ca="1">_xll.ciqfunctions.udf.CIQ($B79,"IQ_CDS_mid",G$2)</f>
        <v>61.666699999999999</v>
      </c>
      <c r="H79">
        <f ca="1">_xll.ciqfunctions.udf.CIQ($B79,"IQ_CDS_mid",H$2)</f>
        <v>61.5</v>
      </c>
      <c r="I79">
        <f ca="1">_xll.ciqfunctions.udf.CIQ($B79,"IQ_CDS_mid",I$2)</f>
        <v>61.166699999999999</v>
      </c>
      <c r="J79">
        <f ca="1">_xll.ciqfunctions.udf.CIQ($B79,"IQ_CDS_mid",J$2)</f>
        <v>61.166699999999999</v>
      </c>
      <c r="K79">
        <f ca="1">_xll.ciqfunctions.udf.CIQ($B79,"IQ_CDS_mid",K$2)</f>
        <v>61.166699999999999</v>
      </c>
      <c r="L79">
        <f ca="1">_xll.ciqfunctions.udf.CIQ($B79,"IQ_CDS_mid",L$2)</f>
        <v>61.166699999999999</v>
      </c>
      <c r="M79">
        <f ca="1">_xll.ciqfunctions.udf.CIQ($B79,"IQ_CDS_mid",M$2)</f>
        <v>61.166699999999999</v>
      </c>
      <c r="N79">
        <f ca="1">_xll.ciqfunctions.udf.CIQ($B79,"IQ_CDS_mid",N$2)</f>
        <v>61.166699999999999</v>
      </c>
      <c r="O79">
        <f ca="1">_xll.ciqfunctions.udf.CIQ($B79,"IQ_CDS_mid",O$2)</f>
        <v>61.5</v>
      </c>
      <c r="P79">
        <f ca="1">_xll.ciqfunctions.udf.CIQ($B79,"IQ_CDS_mid",P$2)</f>
        <v>61.5</v>
      </c>
      <c r="Q79">
        <f ca="1">_xll.ciqfunctions.udf.CIQ($B79,"IQ_CDS_mid",Q$2)</f>
        <v>61.5</v>
      </c>
      <c r="R79">
        <f ca="1">_xll.ciqfunctions.udf.CIQ($B79,"IQ_CDS_mid",R$2)</f>
        <v>63</v>
      </c>
      <c r="S79">
        <f ca="1">_xll.ciqfunctions.udf.CIQ($B79,"IQ_CDS_mid",S$2)</f>
        <v>39.189</v>
      </c>
      <c r="T79">
        <f t="shared" ref="T79:T84" ca="1" si="18">C79-H79</f>
        <v>0.16669999999999874</v>
      </c>
      <c r="U79">
        <f t="shared" ref="U79:U84" ca="1" si="19">C79-M79</f>
        <v>0.5</v>
      </c>
      <c r="V79">
        <f t="shared" ref="V79:V84" ca="1" si="20">C79-Q79</f>
        <v>0.16669999999999874</v>
      </c>
      <c r="W79">
        <f t="shared" ref="W79:W84" ca="1" si="21">C79-R79</f>
        <v>-1.3333000000000013</v>
      </c>
      <c r="X79">
        <f t="shared" ca="1" si="13"/>
        <v>22.477699999999999</v>
      </c>
    </row>
    <row r="80" spans="1:24" ht="15.5">
      <c r="A80" s="22" t="s">
        <v>261</v>
      </c>
      <c r="B80" s="19" t="s">
        <v>262</v>
      </c>
      <c r="C80">
        <f ca="1">_xll.ciqfunctions.udf.CIQ($B80,"IQ_CDS_mid",C$2)</f>
        <v>58.165100000000002</v>
      </c>
      <c r="D80">
        <f ca="1">_xll.ciqfunctions.udf.CIQ($B80,"IQ_CDS_mid",D$2)</f>
        <v>58.165100000000002</v>
      </c>
      <c r="E80">
        <f ca="1">_xll.ciqfunctions.udf.CIQ($B80,"IQ_CDS_mid",E$2)</f>
        <v>58.165100000000002</v>
      </c>
      <c r="F80">
        <f ca="1">_xll.ciqfunctions.udf.CIQ($B80,"IQ_CDS_mid",F$2)</f>
        <v>58.165100000000002</v>
      </c>
      <c r="G80">
        <f ca="1">_xll.ciqfunctions.udf.CIQ($B80,"IQ_CDS_mid",G$2)</f>
        <v>58.165900000000001</v>
      </c>
      <c r="H80">
        <f ca="1">_xll.ciqfunctions.udf.CIQ($B80,"IQ_CDS_mid",H$2)</f>
        <v>58.166600000000003</v>
      </c>
      <c r="I80">
        <f ca="1">_xll.ciqfunctions.udf.CIQ($B80,"IQ_CDS_mid",I$2)</f>
        <v>57.834099999999999</v>
      </c>
      <c r="J80">
        <f ca="1">_xll.ciqfunctions.udf.CIQ($B80,"IQ_CDS_mid",J$2)</f>
        <v>57.834899999999998</v>
      </c>
      <c r="K80">
        <f ca="1">_xll.ciqfunctions.udf.CIQ($B80,"IQ_CDS_mid",K$2)</f>
        <v>57.836399999999998</v>
      </c>
      <c r="L80">
        <f ca="1">_xll.ciqfunctions.udf.CIQ($B80,"IQ_CDS_mid",L$2)</f>
        <v>57.836399999999998</v>
      </c>
      <c r="M80">
        <f ca="1">_xll.ciqfunctions.udf.CIQ($B80,"IQ_CDS_mid",M$2)</f>
        <v>57.836399999999998</v>
      </c>
      <c r="N80">
        <f ca="1">_xll.ciqfunctions.udf.CIQ($B80,"IQ_CDS_mid",N$2)</f>
        <v>57.837000000000003</v>
      </c>
      <c r="O80">
        <f ca="1">_xll.ciqfunctions.udf.CIQ($B80,"IQ_CDS_mid",O$2)</f>
        <v>56.5</v>
      </c>
      <c r="P80">
        <f ca="1">_xll.ciqfunctions.udf.CIQ($B80,"IQ_CDS_mid",P$2)</f>
        <v>56.5</v>
      </c>
      <c r="Q80">
        <f ca="1">_xll.ciqfunctions.udf.CIQ($B80,"IQ_CDS_mid",Q$2)</f>
        <v>56.5</v>
      </c>
      <c r="R80">
        <f ca="1">_xll.ciqfunctions.udf.CIQ($B80,"IQ_CDS_mid",R$2)</f>
        <v>55</v>
      </c>
      <c r="S80">
        <f ca="1">_xll.ciqfunctions.udf.CIQ($B80,"IQ_CDS_mid",S$2)</f>
        <v>41.4435</v>
      </c>
      <c r="T80">
        <f t="shared" ca="1" si="18"/>
        <v>-1.5000000000000568E-3</v>
      </c>
      <c r="U80">
        <f t="shared" ca="1" si="19"/>
        <v>0.32870000000000488</v>
      </c>
      <c r="V80">
        <f t="shared" ca="1" si="20"/>
        <v>1.6651000000000025</v>
      </c>
      <c r="W80">
        <f t="shared" ca="1" si="21"/>
        <v>3.1651000000000025</v>
      </c>
      <c r="X80">
        <f t="shared" ca="1" si="13"/>
        <v>16.721600000000002</v>
      </c>
    </row>
    <row r="81" spans="1:24" ht="15.5">
      <c r="A81" s="22" t="s">
        <v>263</v>
      </c>
      <c r="B81" t="s">
        <v>264</v>
      </c>
      <c r="C81">
        <f ca="1">_xll.ciqfunctions.udf.CIQ($B81,"IQ_CDS_mid",C$2)</f>
        <v>62.506700000000002</v>
      </c>
      <c r="D81">
        <f ca="1">_xll.ciqfunctions.udf.CIQ($B81,"IQ_CDS_mid",D$2)</f>
        <v>62.506700000000002</v>
      </c>
      <c r="E81">
        <f ca="1">_xll.ciqfunctions.udf.CIQ($B81,"IQ_CDS_mid",E$2)</f>
        <v>62.506700000000002</v>
      </c>
      <c r="F81">
        <f ca="1">_xll.ciqfunctions.udf.CIQ($B81,"IQ_CDS_mid",F$2)</f>
        <v>62.506700000000002</v>
      </c>
      <c r="G81">
        <f ca="1">_xll.ciqfunctions.udf.CIQ($B81,"IQ_CDS_mid",G$2)</f>
        <v>62.503500000000003</v>
      </c>
      <c r="H81">
        <f ca="1">_xll.ciqfunctions.udf.CIQ($B81,"IQ_CDS_mid",H$2)</f>
        <v>62.171300000000002</v>
      </c>
      <c r="I81">
        <f ca="1">_xll.ciqfunctions.udf.CIQ($B81,"IQ_CDS_mid",I$2)</f>
        <v>61.837000000000003</v>
      </c>
      <c r="J81">
        <f ca="1">_xll.ciqfunctions.udf.CIQ($B81,"IQ_CDS_mid",J$2)</f>
        <v>62.167299999999997</v>
      </c>
      <c r="K81">
        <f ca="1">_xll.ciqfunctions.udf.CIQ($B81,"IQ_CDS_mid",K$2)</f>
        <v>62.128599999999999</v>
      </c>
      <c r="L81">
        <f ca="1">_xll.ciqfunctions.udf.CIQ($B81,"IQ_CDS_mid",L$2)</f>
        <v>62.128599999999999</v>
      </c>
      <c r="M81">
        <f ca="1">_xll.ciqfunctions.udf.CIQ($B81,"IQ_CDS_mid",M$2)</f>
        <v>62.128599999999999</v>
      </c>
      <c r="N81">
        <f ca="1">_xll.ciqfunctions.udf.CIQ($B81,"IQ_CDS_mid",N$2)</f>
        <v>62.166600000000003</v>
      </c>
      <c r="O81">
        <f ca="1">_xll.ciqfunctions.udf.CIQ($B81,"IQ_CDS_mid",O$2)</f>
        <v>62.506599999999999</v>
      </c>
      <c r="P81">
        <f ca="1">_xll.ciqfunctions.udf.CIQ($B81,"IQ_CDS_mid",P$2)</f>
        <v>62.501300000000001</v>
      </c>
      <c r="Q81">
        <f ca="1">_xll.ciqfunctions.udf.CIQ($B81,"IQ_CDS_mid",Q$2)</f>
        <v>62.333300000000001</v>
      </c>
      <c r="R81">
        <f ca="1">_xll.ciqfunctions.udf.CIQ($B81,"IQ_CDS_mid",R$2)</f>
        <v>61.001300000000001</v>
      </c>
      <c r="S81">
        <f ca="1">_xll.ciqfunctions.udf.CIQ($B81,"IQ_CDS_mid",S$2)</f>
        <v>41.433300000000003</v>
      </c>
      <c r="T81">
        <f t="shared" ca="1" si="18"/>
        <v>0.33539999999999992</v>
      </c>
      <c r="U81">
        <f t="shared" ca="1" si="19"/>
        <v>0.37810000000000343</v>
      </c>
      <c r="V81">
        <f t="shared" ca="1" si="20"/>
        <v>0.17340000000000089</v>
      </c>
      <c r="W81">
        <f t="shared" ca="1" si="21"/>
        <v>1.5054000000000016</v>
      </c>
      <c r="X81">
        <f t="shared" ca="1" si="13"/>
        <v>21.073399999999999</v>
      </c>
    </row>
    <row r="82" spans="1:24" ht="15.5">
      <c r="A82" s="22" t="s">
        <v>265</v>
      </c>
      <c r="B82" s="19" t="s">
        <v>266</v>
      </c>
      <c r="C82">
        <f ca="1">_xll.ciqfunctions.udf.CIQ($B82,"IQ_CDS_mid",C$2)</f>
        <v>56.673999999999999</v>
      </c>
      <c r="D82">
        <f ca="1">_xll.ciqfunctions.udf.CIQ($B82,"IQ_CDS_mid",D$2)</f>
        <v>56.673999999999999</v>
      </c>
      <c r="E82">
        <f ca="1">_xll.ciqfunctions.udf.CIQ($B82,"IQ_CDS_mid",E$2)</f>
        <v>56.673999999999999</v>
      </c>
      <c r="F82">
        <f ca="1">_xll.ciqfunctions.udf.CIQ($B82,"IQ_CDS_mid",F$2)</f>
        <v>56.673999999999999</v>
      </c>
      <c r="G82">
        <f ca="1">_xll.ciqfunctions.udf.CIQ($B82,"IQ_CDS_mid",G$2)</f>
        <v>56.653599999999997</v>
      </c>
      <c r="H82">
        <f ca="1">_xll.ciqfunctions.udf.CIQ($B82,"IQ_CDS_mid",H$2)</f>
        <v>56.653599999999997</v>
      </c>
      <c r="I82">
        <f ca="1">_xll.ciqfunctions.udf.CIQ($B82,"IQ_CDS_mid",I$2)</f>
        <v>56.315600000000003</v>
      </c>
      <c r="J82">
        <f ca="1">_xll.ciqfunctions.udf.CIQ($B82,"IQ_CDS_mid",J$2)</f>
        <v>56</v>
      </c>
      <c r="K82">
        <f ca="1">_xll.ciqfunctions.udf.CIQ($B82,"IQ_CDS_mid",K$2)</f>
        <v>56</v>
      </c>
      <c r="L82">
        <f ca="1">_xll.ciqfunctions.udf.CIQ($B82,"IQ_CDS_mid",L$2)</f>
        <v>56</v>
      </c>
      <c r="M82">
        <f ca="1">_xll.ciqfunctions.udf.CIQ($B82,"IQ_CDS_mid",M$2)</f>
        <v>56</v>
      </c>
      <c r="N82">
        <f ca="1">_xll.ciqfunctions.udf.CIQ($B82,"IQ_CDS_mid",N$2)</f>
        <v>56</v>
      </c>
      <c r="O82">
        <f ca="1">_xll.ciqfunctions.udf.CIQ($B82,"IQ_CDS_mid",O$2)</f>
        <v>56.5</v>
      </c>
      <c r="P82">
        <f ca="1">_xll.ciqfunctions.udf.CIQ($B82,"IQ_CDS_mid",P$2)</f>
        <v>56.5</v>
      </c>
      <c r="Q82">
        <f ca="1">_xll.ciqfunctions.udf.CIQ($B82,"IQ_CDS_mid",Q$2)</f>
        <v>56.5</v>
      </c>
      <c r="R82">
        <f ca="1">_xll.ciqfunctions.udf.CIQ($B82,"IQ_CDS_mid",R$2)</f>
        <v>55</v>
      </c>
      <c r="S82">
        <f ca="1">_xll.ciqfunctions.udf.CIQ($B82,"IQ_CDS_mid",S$2)</f>
        <v>44.5336</v>
      </c>
      <c r="T82">
        <f t="shared" ca="1" si="18"/>
        <v>2.0400000000002194E-2</v>
      </c>
      <c r="U82">
        <f t="shared" ca="1" si="19"/>
        <v>0.67399999999999949</v>
      </c>
      <c r="V82">
        <f t="shared" ca="1" si="20"/>
        <v>0.17399999999999949</v>
      </c>
      <c r="W82">
        <f t="shared" ca="1" si="21"/>
        <v>1.6739999999999995</v>
      </c>
      <c r="X82">
        <f t="shared" ca="1" si="13"/>
        <v>12.1404</v>
      </c>
    </row>
    <row r="83" spans="1:24" ht="15.5">
      <c r="A83" s="22" t="s">
        <v>267</v>
      </c>
      <c r="B83" s="19" t="s">
        <v>268</v>
      </c>
      <c r="C83">
        <f ca="1">_xll.ciqfunctions.udf.CIQ($B83,"IQ_CDS_mid",C$2)</f>
        <v>61.2928</v>
      </c>
      <c r="D83">
        <f ca="1">_xll.ciqfunctions.udf.CIQ($B83,"IQ_CDS_mid",D$2)</f>
        <v>61.2928</v>
      </c>
      <c r="E83">
        <f ca="1">_xll.ciqfunctions.udf.CIQ($B83,"IQ_CDS_mid",E$2)</f>
        <v>61.2928</v>
      </c>
      <c r="F83">
        <f ca="1">_xll.ciqfunctions.udf.CIQ($B83,"IQ_CDS_mid",F$2)</f>
        <v>61.2928</v>
      </c>
      <c r="G83">
        <f ca="1">_xll.ciqfunctions.udf.CIQ($B83,"IQ_CDS_mid",G$2)</f>
        <v>60.9788</v>
      </c>
      <c r="H83">
        <f ca="1">_xll.ciqfunctions.udf.CIQ($B83,"IQ_CDS_mid",H$2)</f>
        <v>60.3842</v>
      </c>
      <c r="I83">
        <f ca="1">_xll.ciqfunctions.udf.CIQ($B83,"IQ_CDS_mid",I$2)</f>
        <v>60.128599999999999</v>
      </c>
      <c r="J83">
        <f ca="1">_xll.ciqfunctions.udf.CIQ($B83,"IQ_CDS_mid",J$2)</f>
        <v>60.285200000000003</v>
      </c>
      <c r="K83">
        <f ca="1">_xll.ciqfunctions.udf.CIQ($B83,"IQ_CDS_mid",K$2)</f>
        <v>60.8123</v>
      </c>
      <c r="L83">
        <f ca="1">_xll.ciqfunctions.udf.CIQ($B83,"IQ_CDS_mid",L$2)</f>
        <v>60.8123</v>
      </c>
      <c r="M83">
        <f ca="1">_xll.ciqfunctions.udf.CIQ($B83,"IQ_CDS_mid",M$2)</f>
        <v>60.8123</v>
      </c>
      <c r="N83">
        <f ca="1">_xll.ciqfunctions.udf.CIQ($B83,"IQ_CDS_mid",N$2)</f>
        <v>60.219499999999996</v>
      </c>
      <c r="O83">
        <f ca="1">_xll.ciqfunctions.udf.CIQ($B83,"IQ_CDS_mid",O$2)</f>
        <v>60.520600000000002</v>
      </c>
      <c r="P83">
        <f ca="1">_xll.ciqfunctions.udf.CIQ($B83,"IQ_CDS_mid",P$2)</f>
        <v>60.506</v>
      </c>
      <c r="Q83">
        <f ca="1">_xll.ciqfunctions.udf.CIQ($B83,"IQ_CDS_mid",Q$2)</f>
        <v>60.502299999999998</v>
      </c>
      <c r="R83">
        <f ca="1">_xll.ciqfunctions.udf.CIQ($B83,"IQ_CDS_mid",R$2)</f>
        <v>56.699199999999998</v>
      </c>
      <c r="S83">
        <f ca="1">_xll.ciqfunctions.udf.CIQ($B83,"IQ_CDS_mid",S$2)</f>
        <v>37.821899999999999</v>
      </c>
      <c r="T83">
        <f t="shared" ca="1" si="18"/>
        <v>0.90859999999999985</v>
      </c>
      <c r="U83">
        <f t="shared" ca="1" si="19"/>
        <v>0.48049999999999926</v>
      </c>
      <c r="V83">
        <f t="shared" ca="1" si="20"/>
        <v>0.79050000000000153</v>
      </c>
      <c r="W83">
        <f t="shared" ca="1" si="21"/>
        <v>4.5936000000000021</v>
      </c>
      <c r="X83">
        <f t="shared" ca="1" si="13"/>
        <v>23.4709</v>
      </c>
    </row>
    <row r="84" spans="1:24" ht="15.5">
      <c r="A84" s="22" t="s">
        <v>269</v>
      </c>
      <c r="B84" t="s">
        <v>270</v>
      </c>
      <c r="C84">
        <f ca="1">_xll.ciqfunctions.udf.CIQ($B84,"IQ_CDS_mid",C$2)</f>
        <v>60.521999999999998</v>
      </c>
      <c r="D84">
        <f ca="1">_xll.ciqfunctions.udf.CIQ($B84,"IQ_CDS_mid",D$2)</f>
        <v>60.521999999999998</v>
      </c>
      <c r="E84">
        <f ca="1">_xll.ciqfunctions.udf.CIQ($B84,"IQ_CDS_mid",E$2)</f>
        <v>60.521999999999998</v>
      </c>
      <c r="F84">
        <f ca="1">_xll.ciqfunctions.udf.CIQ($B84,"IQ_CDS_mid",F$2)</f>
        <v>60.521999999999998</v>
      </c>
      <c r="G84">
        <f ca="1">_xll.ciqfunctions.udf.CIQ($B84,"IQ_CDS_mid",G$2)</f>
        <v>60.519199999999998</v>
      </c>
      <c r="H84">
        <f ca="1">_xll.ciqfunctions.udf.CIQ($B84,"IQ_CDS_mid",H$2)</f>
        <v>60.468699999999998</v>
      </c>
      <c r="I84">
        <f ca="1">_xll.ciqfunctions.udf.CIQ($B84,"IQ_CDS_mid",I$2)</f>
        <v>59.969299999999997</v>
      </c>
      <c r="J84">
        <f ca="1">_xll.ciqfunctions.udf.CIQ($B84,"IQ_CDS_mid",J$2)</f>
        <v>59.9754</v>
      </c>
      <c r="K84">
        <f ca="1">_xll.ciqfunctions.udf.CIQ($B84,"IQ_CDS_mid",K$2)</f>
        <v>60.006599999999999</v>
      </c>
      <c r="L84">
        <f ca="1">_xll.ciqfunctions.udf.CIQ($B84,"IQ_CDS_mid",L$2)</f>
        <v>60.006599999999999</v>
      </c>
      <c r="M84">
        <f ca="1">_xll.ciqfunctions.udf.CIQ($B84,"IQ_CDS_mid",M$2)</f>
        <v>60.006599999999999</v>
      </c>
      <c r="N84">
        <f ca="1">_xll.ciqfunctions.udf.CIQ($B84,"IQ_CDS_mid",N$2)</f>
        <v>60.068199999999997</v>
      </c>
      <c r="O84">
        <f ca="1">_xll.ciqfunctions.udf.CIQ($B84,"IQ_CDS_mid",O$2)</f>
        <v>60.554099999999998</v>
      </c>
      <c r="P84">
        <f ca="1">_xll.ciqfunctions.udf.CIQ($B84,"IQ_CDS_mid",P$2)</f>
        <v>60.538899999999998</v>
      </c>
      <c r="Q84">
        <f ca="1">_xll.ciqfunctions.udf.CIQ($B84,"IQ_CDS_mid",Q$2)</f>
        <v>60.4801</v>
      </c>
      <c r="R84">
        <f ca="1">_xll.ciqfunctions.udf.CIQ($B84,"IQ_CDS_mid",R$2)</f>
        <v>53.939700000000002</v>
      </c>
      <c r="S84">
        <f ca="1">_xll.ciqfunctions.udf.CIQ($B84,"IQ_CDS_mid",S$2)</f>
        <v>51.478099999999998</v>
      </c>
      <c r="T84">
        <f t="shared" ca="1" si="18"/>
        <v>5.3300000000000125E-2</v>
      </c>
      <c r="U84">
        <f t="shared" ca="1" si="19"/>
        <v>0.51539999999999964</v>
      </c>
      <c r="V84">
        <f t="shared" ca="1" si="20"/>
        <v>4.1899999999998272E-2</v>
      </c>
      <c r="W84">
        <f t="shared" ca="1" si="21"/>
        <v>6.5822999999999965</v>
      </c>
      <c r="X84">
        <f t="shared" ca="1" si="13"/>
        <v>9.0439000000000007</v>
      </c>
    </row>
    <row r="85" spans="1:24" ht="15.5">
      <c r="A85" s="24" t="s">
        <v>271</v>
      </c>
      <c r="B85" s="19"/>
    </row>
  </sheetData>
  <conditionalFormatting sqref="O3:S6 C3:N15 O8:S15 C16:S16 O17:S20 C17:N44 O22:S29 O31:S42 O44:S44 C45:C52 D48:S52 C53:S84">
    <cfRule type="cellIs" dxfId="1" priority="2" operator="greaterThan">
      <formula>150</formula>
    </cfRule>
    <cfRule type="cellIs" priority="3" operator="greaterThan">
      <formula>150</formula>
    </cfRule>
  </conditionalFormatting>
  <conditionalFormatting sqref="T3:U84">
    <cfRule type="cellIs" dxfId="0" priority="1" operator="greaterThan">
      <formula>10</formula>
    </cfRule>
  </conditionalFormatting>
  <pageMargins left="0.7" right="0.7" top="0.75" bottom="0.75" header="0.3" footer="0.3"/>
  <headerFooter>
    <oddHeader>&amp;R&amp;"Aptos"&amp;10&amp;K000000 Category/Catégorie: Non-Sensitive/Non-Délicat&amp;1#_x000D_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Sovereigns</vt:lpstr>
      <vt:lpstr>CDS from CapitalIQ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Evangelista</cp:lastModifiedBy>
  <dcterms:created xsi:type="dcterms:W3CDTF">2026-06-05T17:56:29Z</dcterms:created>
  <dcterms:modified xsi:type="dcterms:W3CDTF">2026-07-27T16:22:13Z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2026-07-15T20:08:05Z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7da73307-4b9e-4891-867b-eae955d794c4</vt:lpwstr>
  </property>
  <property fmtid="{D5CDD505-2E9C-101B-9397-08002B2CF9AE}" pid="8" name="MSIP_Label_aebacc78-dcc9-4733-835b-33704aeb5fb9_ContentBits">
    <vt:lpwstr>1</vt:lpwstr>
  </property>
  <property fmtid="{D5CDD505-2E9C-101B-9397-08002B2CF9AE}" pid="9" name="MSIP_Label_aebacc78-dcc9-4733-835b-33704aeb5fb9_Tag">
    <vt:lpwstr>10, 0, 1, 1</vt:lpwstr>
  </property>
</Properties>
</file>